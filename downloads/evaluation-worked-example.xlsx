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bf0fdd5ac45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ison" sheetId="1" r:id="R1f0665297acc4e32"/>
    <x:sheet xmlns:r="http://schemas.openxmlformats.org/officeDocument/2006/relationships" name="Queries" sheetId="2" r:id="Rd73bcacd485a4a5c"/>
    <x:sheet xmlns:r="http://schemas.openxmlformats.org/officeDocument/2006/relationships" name="Records" sheetId="3" r:id="R5745d5013c754147"/>
    <x:sheet xmlns:r="http://schemas.openxmlformats.org/officeDocument/2006/relationships" name="Runs" sheetId="4" r:id="R9ea6df62cc5e4a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@"/>
    <x:numFmt numFmtId="202" formatCode="0.00"/>
  </x:numFmts>
  <x:fonts count="5">
    <x:font>
      <x:sz val="11"/>
      <x:name val="Carlito"/>
    </x:font>
    <x:font>
      <x:sz val="11"/>
      <x:color rgb="FF17201F"/>
      <x:name val="Arial"/>
    </x:font>
    <x:font>
      <x:b/>
      <x:sz val="16"/>
      <x:color rgb="FF17201F"/>
      <x:name val="Arial"/>
    </x:font>
    <x:font>
      <x:sz val="10"/>
      <x:color rgb="FF596462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D5B59"/>
      </x:patternFill>
    </x:fill>
    <x:fill>
      <x:patternFill patternType="solid">
        <x:fgColor rgb="FFFFF4D6"/>
      </x:patternFill>
    </x:fill>
    <x:fill>
      <x:patternFill patternType="solid">
        <x:fgColor rgb="FFEDF2F0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202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8A2D20"/>
      </x:font>
      <x:fill>
        <x:patternFill patternType="solid">
          <x:bgColor rgb="FFFCE5DF"/>
        </x:patternFill>
      </x:fill>
    </x:dxf>
    <x:dxf>
      <x:font>
        <x:b/>
        <x:color rgb="FF8A2D20"/>
      </x:font>
      <x:fill>
        <x:patternFill patternType="solid">
          <x:bgColor rgb="FFFCE5DF"/>
        </x:patternFill>
      </x:fill>
    </x:dxf>
    <x:dxf>
      <x:fill>
        <x:patternFill patternType="solid">
          <x:bgColor rgb="FFFCE5DF"/>
        </x:patternFill>
      </x:fill>
    </x:dxf>
    <x:dxf>
      <x:fill>
        <x:patternFill patternType="solid">
          <x:bgColor rgb="FFFCE5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cf6651bcf24782" /><Relationship Type="http://schemas.openxmlformats.org/officeDocument/2006/relationships/theme" Target="/xl/theme/theme1.xml" Id="R86bfb43b8c0d43bc" /><Relationship Type="http://schemas.openxmlformats.org/officeDocument/2006/relationships/sharedStrings" Target="/xl/sharedStrings.xml" Id="R6f7cd5d5806c4517" /><Relationship Type="http://schemas.openxmlformats.org/officeDocument/2006/relationships/worksheet" Target="/xl/worksheets/sheet1.xml" Id="R1f0665297acc4e32" /><Relationship Type="http://schemas.openxmlformats.org/officeDocument/2006/relationships/worksheet" Target="/xl/worksheets/sheet2.xml" Id="Rd73bcacd485a4a5c" /><Relationship Type="http://schemas.openxmlformats.org/officeDocument/2006/relationships/worksheet" Target="/xl/worksheets/sheet3.xml" Id="R5745d5013c754147" /><Relationship Type="http://schemas.openxmlformats.org/officeDocument/2006/relationships/worksheet" Target="/xl/worksheets/sheet4.xml" Id="R9ea6df62cc5e4ae8" /></Relationships>
</file>

<file path=xl/tables/table1.xml><?xml version="1.0" encoding="utf-8"?>
<x:table xmlns:x="http://schemas.openxmlformats.org/spreadsheetml/2006/main" id="3" name="ComparisonData" displayName="ComparisonData" ref="A5:Q55" headerRowCount="1" totalsRowCount="0" totalsRowShown="0">
  <x:autoFilter ref="A5:Q55"/>
  <x:tableColumns count="17">
    <x:tableColumn id="1" name="Query ID"/>
    <x:tableColumn id="2" name="Probe"/>
    <x:tableColumn id="3" name="Status"/>
    <x:tableColumn id="4" name="Records A at k"/>
    <x:tableColumn id="5" name="Records B at k"/>
    <x:tableColumn id="6" name="Relevant A"/>
    <x:tableColumn id="7" name="Relevant B"/>
    <x:tableColumn id="8" name="k"/>
    <x:tableColumn id="9" name="Precision A"/>
    <x:tableColumn id="10" name="Precision B"/>
    <x:tableColumn id="11" name="Precision B minus A"/>
    <x:tableColumn id="12" name="Seeds listed"/>
    <x:tableColumn id="13" name="Seeds A at k"/>
    <x:tableColumn id="14" name="Seeds B at k"/>
    <x:tableColumn id="15" name="Seed recovery A"/>
    <x:tableColumn id="16" name="Seed recovery B"/>
    <x:tableColumn id="17" name="Recovery B minus 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QueryData" displayName="QueryData" ref="A5:U55" headerRowCount="1" totalsRowCount="0" totalsRowShown="0">
  <x:autoFilter ref="A5:U55"/>
  <x:tableColumns count="21">
    <x:tableColumn id="1" name="Query ID"/>
    <x:tableColumn id="2" name="Information need"/>
    <x:tableColumn id="3" name="Relevance criteria"/>
    <x:tableColumn id="4" name="Probe"/>
    <x:tableColumn id="5" name="Query A"/>
    <x:tableColumn id="6" name="Filters A"/>
    <x:tableColumn id="7" name="Query B"/>
    <x:tableColumn id="8" name="Filters B"/>
    <x:tableColumn id="9" name="Capture depth A"/>
    <x:tableColumn id="10" name="Captured records A"/>
    <x:tableColumn id="11" name="Complete A"/>
    <x:tableColumn id="12" name="Capture depth B"/>
    <x:tableColumn id="13" name="Captured records B"/>
    <x:tableColumn id="14" name="Complete B"/>
    <x:tableColumn id="15" name="Explanation"/>
    <x:tableColumn id="16" name="Alternatives"/>
    <x:tableColumn id="17" name="Next check"/>
    <x:tableColumn id="18" name="Transformed query A or unknown"/>
    <x:tableColumn id="19" name="Transformed query B or unknown"/>
    <x:tableColumn id="20" name="Capture status"/>
    <x:tableColumn id="21" name="Judgement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ecordData" displayName="RecordData" ref="A5:Q105" headerRowCount="1" totalsRowCount="0" totalsRowShown="0">
  <x:autoFilter ref="A5:Q105"/>
  <x:tableColumns count="17">
    <x:tableColumn id="1" name="Query ID"/>
    <x:tableColumn id="2" name="Record ID"/>
    <x:tableColumn id="3" name="Citation or link"/>
    <x:tableColumn id="4" name="Judgement"/>
    <x:tableColumn id="5" name="Evidence or notes"/>
    <x:tableColumn id="6" name="Seed"/>
    <x:tableColumn id="7" name="Rank A"/>
    <x:tableColumn id="8" name="Rank B"/>
    <x:tableColumn id="9" name="Row status"/>
    <x:tableColumn id="10" name="In A at k"/>
    <x:tableColumn id="11" name="In B at k"/>
    <x:tableColumn id="12" name="Relevant A"/>
    <x:tableColumn id="13" name="Relevant B"/>
    <x:tableColumn id="14" name="Unjudged at k"/>
    <x:tableColumn id="15" name="Seed A"/>
    <x:tableColumn id="16" name="Seed B"/>
    <x:tableColumn id="17" name="Seed tot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Data" displayName="RunData" ref="A5:H7" headerRowCount="1" totalsRowCount="0" totalsRowShown="0">
  <x:autoFilter ref="A5:H7"/>
  <x:tableColumns count="8">
    <x:tableColumn id="1" name="Run"/>
    <x:tableColumn id="2" name="Product and mode"/>
    <x:tableColumn id="3" name="Run date"/>
    <x:tableColumn id="4" name="Model or unknown"/>
    <x:tableColumn id="5" name="Index or unknown"/>
    <x:tableColumn id="6" name="Change being tested"/>
    <x:tableColumn id="7" name="Saved exports"/>
    <x:tableColumn id="8" name="Unavailable 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1cd96a261946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8993b8a8a44f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1439b93040e4d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55ed9c9a4a4c28" /></Relationships>
</file>

<file path=xl/worksheets/sheet1.xml><?xml version="1.0" encoding="utf-8"?>
<x:worksheet xmlns:x="http://schemas.openxmlformats.org/spreadsheetml/2006/main">
  <x:sheetPr>
    <x:tabColor rgb="FF1D5B59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45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  <x:col min="8" max="8" width="8" hidden="0" customWidth="1"/>
    <x:col min="9" max="9" width="15" hidden="0" customWidth="1"/>
    <x:col min="10" max="10" width="15" hidden="0" customWidth="1"/>
    <x:col min="11" max="11" width="15" hidden="0" customWidth="1"/>
    <x:col min="12" max="12" width="13" hidden="0" customWidth="1"/>
    <x:col min="13" max="13" width="14" hidden="0" customWidth="1"/>
    <x:col min="14" max="14" width="14" hidden="0" customWidth="1"/>
    <x:col min="15" max="15" width="19" hidden="0" customWidth="1"/>
    <x:col min="16" max="16" width="19" hidden="0" customWidth="1"/>
    <x:col min="17" max="17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Local retrieval evaluation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Fixed denominator k. Seed recovery is not complete recall. Inputs are pale yellow; calculations are grey.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Cutoff k</x:v>
      </x:c>
      <x:c r="B4" s="17" t="n">
        <x:v>10</x:v>
      </x:c>
      <x:c r="C4" s="1" t="str">
        <x:v>Choose before collecting; see the guide for setup and extension.</x:v>
      </x:c>
      <x:c r="D4" s="1"/>
      <x:c r="E4" s="1"/>
      <x:c r="F4" s="1"/>
      <x:c r="G4" s="1"/>
      <x:c r="H4" s="1"/>
      <x:c r="I4" s="1"/>
      <x:c r="J4" s="1"/>
      <x:c r="K4" s="1"/>
      <x:c r="L4" s="1" t="str">
        <x:v>Unassigned record errors</x:v>
      </x:c>
      <x:c r="M4" s="1"/>
      <x:c r="N4" s="1" t="n">
        <x:f>COUNTIFS(RecordData[Row status],"Missing query ID")+COUNTIFS(RecordData[Row status],"Unknown query ID")</x:f>
        <x:v>0</x:v>
      </x:c>
      <x:c r="O4" s="1"/>
      <x:c r="P4" s="1"/>
      <x:c r="Q4" s="1"/>
    </x:row>
    <x:row r="5" ht="36" customHeight="1">
      <x:c r="A5" s="8" t="str">
        <x:v>Query ID</x:v>
      </x:c>
      <x:c r="B5" s="8" t="str">
        <x:v>Probe</x:v>
      </x:c>
      <x:c r="C5" s="8" t="str">
        <x:v>Status</x:v>
      </x:c>
      <x:c r="D5" s="8" t="str">
        <x:v>Records A at k</x:v>
      </x:c>
      <x:c r="E5" s="8" t="str">
        <x:v>Records B at k</x:v>
      </x:c>
      <x:c r="F5" s="8" t="str">
        <x:v>Relevant A</x:v>
      </x:c>
      <x:c r="G5" s="8" t="str">
        <x:v>Relevant B</x:v>
      </x:c>
      <x:c r="H5" s="8" t="str">
        <x:v>k</x:v>
      </x:c>
      <x:c r="I5" s="8" t="str">
        <x:v>Precision A</x:v>
      </x:c>
      <x:c r="J5" s="8" t="str">
        <x:v>Precision B</x:v>
      </x:c>
      <x:c r="K5" s="8" t="str">
        <x:v>Precision B minus A</x:v>
      </x:c>
      <x:c r="L5" s="8" t="str">
        <x:v>Seeds listed</x:v>
      </x:c>
      <x:c r="M5" s="8" t="str">
        <x:v>Seeds A at k</x:v>
      </x:c>
      <x:c r="N5" s="8" t="str">
        <x:v>Seeds B at k</x:v>
      </x:c>
      <x:c r="O5" s="8" t="str">
        <x:v>Seed recovery A</x:v>
      </x:c>
      <x:c r="P5" s="8" t="str">
        <x:v>Seed recovery B</x:v>
      </x:c>
      <x:c r="Q5" s="8" t="str">
        <x:v>Recovery B minus A</x:v>
      </x:c>
    </x:row>
    <x:row r="6" ht="48" customHeight="1">
      <x:c r="A6" s="11" t="str">
        <x:f>IF(Queries!A6="","",Queries!A6)</x:f>
        <x:v>EX01</x:v>
      </x:c>
      <x:c r="B6" s="13" t="str">
        <x:f>IF(A6="","",INDEX(QueryData[Probe],MATCH(SUBSTITUTE(SUBSTITUTE(SUBSTITUTE(A6,"~","~~"),"*","~*"),"?","~?"),QueryData[Query ID],0)))</x:f>
        <x:v>Controlled ranking example</x:v>
      </x:c>
      <x:c r="C6" s="13" t="str">
        <x:f>IF(A6="","",IF(INDEX(QueryData[Capture status],MATCH(SUBSTITUTE(SUBSTITUTE(SUBSTITUTE(A6,"~","~~"),"*","~*"),"?","~?"),QueryData[Query ID],0))&lt;&gt;"Ready",INDEX(QueryData[Capture status],MATCH(SUBSTITUTE(SUBSTITUTE(SUBSTITUTE(A6,"~","~~"),"*","~*"),"?","~?"),QueryData[Query ID],0)),IF(INDEX(QueryData[Judgement status],MATCH(SUBSTITUTE(SUBSTITUTE(SUBSTITUTE(A6,"~","~~"),"*","~*"),"?","~?"),QueryData[Query ID],0))&lt;&gt;"Judged",INDEX(QueryData[Judgement status],MATCH(SUBSTITUTE(SUBSTITUTE(SUBSTITUTE(A6,"~","~~"),"*","~*"),"?","~?"),QueryData[Query ID],0)),"Ready")))</x:f>
        <x:v>Ready</x:v>
      </x:c>
      <x:c r="D6" s="11" t="n">
        <x:f>IF(A6="","",SUMIFS(RecordData[In A at k],RecordData[Query ID],"="&amp;SUBSTITUTE(SUBSTITUTE(SUBSTITUTE(A6,"~","~~"),"*","~*"),"?","~?")))</x:f>
        <x:v>10</x:v>
      </x:c>
      <x:c r="E6" s="11" t="n">
        <x:f>IF(A6="","",SUMIFS(RecordData[In B at k],RecordData[Query ID],"="&amp;SUBSTITUTE(SUBSTITUTE(SUBSTITUTE(A6,"~","~~"),"*","~*"),"?","~?")))</x:f>
        <x:v>10</x:v>
      </x:c>
      <x:c r="F6" s="11" t="n">
        <x:f>IF(C6&lt;&gt;"Ready","",SUMIFS(RecordData[Relevant A],RecordData[Query ID],"="&amp;SUBSTITUTE(SUBSTITUTE(SUBSTITUTE(A6,"~","~~"),"*","~*"),"?","~?")))</x:f>
        <x:v>2</x:v>
      </x:c>
      <x:c r="G6" s="11" t="n">
        <x:f>IF(C6&lt;&gt;"Ready","",SUMIFS(RecordData[Relevant B],RecordData[Query ID],"="&amp;SUBSTITUTE(SUBSTITUTE(SUBSTITUTE(A6,"~","~~"),"*","~*"),"?","~?")))</x:f>
        <x:v>6</x:v>
      </x:c>
      <x:c r="H6" s="11" t="n">
        <x:f>IF(A6="","",$B$4)</x:f>
        <x:v>10</x:v>
      </x:c>
      <x:c r="I6" s="18" t="n">
        <x:f>IF(C6&lt;&gt;"Ready","",F6/H6)</x:f>
        <x:v>0.2</x:v>
      </x:c>
      <x:c r="J6" s="18" t="n">
        <x:f>IF(C6&lt;&gt;"Ready","",G6/H6)</x:f>
        <x:v>0.6</x:v>
      </x:c>
      <x:c r="K6" s="18" t="n">
        <x:f>IF(C6&lt;&gt;"Ready","",J6-I6)</x:f>
        <x:v>0.39999999999999997</x:v>
      </x:c>
      <x:c r="L6" s="11" t="n">
        <x:f>IF(A6="","",SUMIFS(RecordData[Seed total],RecordData[Query ID],"="&amp;SUBSTITUTE(SUBSTITUTE(SUBSTITUTE(A6,"~","~~"),"*","~*"),"?","~?")))</x:f>
        <x:v>5</x:v>
      </x:c>
      <x:c r="M6" s="11" t="n">
        <x:f>IF(A6="","",IF(INDEX(QueryData[Capture status],MATCH(SUBSTITUTE(SUBSTITUTE(SUBSTITUTE(A6,"~","~~"),"*","~*"),"?","~?"),QueryData[Query ID],0))&lt;&gt;"Ready","",SUMIFS(RecordData[Seed A],RecordData[Query ID],"="&amp;SUBSTITUTE(SUBSTITUTE(SUBSTITUTE(A6,"~","~~"),"*","~*"),"?","~?"))))</x:f>
        <x:v>1</x:v>
      </x:c>
      <x:c r="N6" s="11" t="n">
        <x:f>IF(A6="","",IF(INDEX(QueryData[Capture status],MATCH(SUBSTITUTE(SUBSTITUTE(SUBSTITUTE(A6,"~","~~"),"*","~*"),"?","~?"),QueryData[Query ID],0))&lt;&gt;"Ready","",SUMIFS(RecordData[Seed B],RecordData[Query ID],"="&amp;SUBSTITUTE(SUBSTITUTE(SUBSTITUTE(A6,"~","~~"),"*","~*"),"?","~?"))))</x:f>
        <x:v>3</x:v>
      </x:c>
      <x:c r="O6" s="18" t="n">
        <x:f>IF(A6="","",IF(INDEX(QueryData[Capture status],MATCH(SUBSTITUTE(SUBSTITUTE(SUBSTITUTE(A6,"~","~~"),"*","~*"),"?","~?"),QueryData[Query ID],0))&lt;&gt;"Ready","",IF(L6=0,"No seeds specified",M6/L6)))</x:f>
        <x:v>0.2</x:v>
      </x:c>
      <x:c r="P6" s="18" t="n">
        <x:f>IF(A6="","",IF(INDEX(QueryData[Capture status],MATCH(SUBSTITUTE(SUBSTITUTE(SUBSTITUTE(A6,"~","~~"),"*","~*"),"?","~?"),QueryData[Query ID],0))&lt;&gt;"Ready","",IF(L6=0,"No seeds specified",N6/L6)))</x:f>
        <x:v>0.6</x:v>
      </x:c>
      <x:c r="Q6" s="18" t="n">
        <x:f>IF(A6="","",IF(OR(INDEX(QueryData[Capture status],MATCH(SUBSTITUTE(SUBSTITUTE(SUBSTITUTE(A6,"~","~~"),"*","~*"),"?","~?"),QueryData[Query ID],0))&lt;&gt;"Ready",L6=0),"",P6-O6))</x:f>
        <x:v>0.39999999999999997</x:v>
      </x:c>
    </x:row>
    <x:row r="7" ht="48" customHeight="1">
      <x:c r="A7" s="11" t="str">
        <x:f>IF(Queries!A7="","",Queries!A7)</x:f>
      </x:c>
      <x:c r="B7" s="13" t="str">
        <x:f>IF(A7="","",INDEX(QueryData[Probe],MATCH(SUBSTITUTE(SUBSTITUTE(SUBSTITUTE(A7,"~","~~"),"*","~*"),"?","~?"),QueryData[Query ID],0)))</x:f>
      </x:c>
      <x:c r="C7" s="13" t="str">
        <x:f>IF(A7="","",IF(INDEX(QueryData[Capture status],MATCH(SUBSTITUTE(SUBSTITUTE(SUBSTITUTE(A7,"~","~~"),"*","~*"),"?","~?"),QueryData[Query ID],0))&lt;&gt;"Ready",INDEX(QueryData[Capture status],MATCH(SUBSTITUTE(SUBSTITUTE(SUBSTITUTE(A7,"~","~~"),"*","~*"),"?","~?"),QueryData[Query ID],0)),IF(INDEX(QueryData[Judgement status],MATCH(SUBSTITUTE(SUBSTITUTE(SUBSTITUTE(A7,"~","~~"),"*","~*"),"?","~?"),QueryData[Query ID],0))&lt;&gt;"Judged",INDEX(QueryData[Judgement status],MATCH(SUBSTITUTE(SUBSTITUTE(SUBSTITUTE(A7,"~","~~"),"*","~*"),"?","~?"),QueryData[Query ID],0)),"Ready")))</x:f>
      </x:c>
      <x:c r="D7" s="11" t="str">
        <x:f>IF(A7="","",SUMIFS(RecordData[In A at k],RecordData[Query ID],"="&amp;SUBSTITUTE(SUBSTITUTE(SUBSTITUTE(A7,"~","~~"),"*","~*"),"?","~?")))</x:f>
      </x:c>
      <x:c r="E7" s="11" t="str">
        <x:f>IF(A7="","",SUMIFS(RecordData[In B at k],RecordData[Query ID],"="&amp;SUBSTITUTE(SUBSTITUTE(SUBSTITUTE(A7,"~","~~"),"*","~*"),"?","~?")))</x:f>
      </x:c>
      <x:c r="F7" s="11" t="str">
        <x:f>IF(C7&lt;&gt;"Ready","",SUMIFS(RecordData[Relevant A],RecordData[Query ID],"="&amp;SUBSTITUTE(SUBSTITUTE(SUBSTITUTE(A7,"~","~~"),"*","~*"),"?","~?")))</x:f>
      </x:c>
      <x:c r="G7" s="11" t="str">
        <x:f>IF(C7&lt;&gt;"Ready","",SUMIFS(RecordData[Relevant B],RecordData[Query ID],"="&amp;SUBSTITUTE(SUBSTITUTE(SUBSTITUTE(A7,"~","~~"),"*","~*"),"?","~?")))</x:f>
      </x:c>
      <x:c r="H7" s="11" t="str">
        <x:f>IF(A7="","",$B$4)</x:f>
      </x:c>
      <x:c r="I7" s="18" t="str">
        <x:f>IF(C7&lt;&gt;"Ready","",F7/H7)</x:f>
      </x:c>
      <x:c r="J7" s="18" t="str">
        <x:f>IF(C7&lt;&gt;"Ready","",G7/H7)</x:f>
      </x:c>
      <x:c r="K7" s="18" t="str">
        <x:f>IF(C7&lt;&gt;"Ready","",J7-I7)</x:f>
      </x:c>
      <x:c r="L7" s="11" t="str">
        <x:f>IF(A7="","",SUMIFS(RecordData[Seed total],RecordData[Query ID],"="&amp;SUBSTITUTE(SUBSTITUTE(SUBSTITUTE(A7,"~","~~"),"*","~*"),"?","~?")))</x:f>
      </x:c>
      <x:c r="M7" s="11" t="str">
        <x:f>IF(A7="","",IF(INDEX(QueryData[Capture status],MATCH(SUBSTITUTE(SUBSTITUTE(SUBSTITUTE(A7,"~","~~"),"*","~*"),"?","~?"),QueryData[Query ID],0))&lt;&gt;"Ready","",SUMIFS(RecordData[Seed A],RecordData[Query ID],"="&amp;SUBSTITUTE(SUBSTITUTE(SUBSTITUTE(A7,"~","~~"),"*","~*"),"?","~?"))))</x:f>
      </x:c>
      <x:c r="N7" s="11" t="str">
        <x:f>IF(A7="","",IF(INDEX(QueryData[Capture status],MATCH(SUBSTITUTE(SUBSTITUTE(SUBSTITUTE(A7,"~","~~"),"*","~*"),"?","~?"),QueryData[Query ID],0))&lt;&gt;"Ready","",SUMIFS(RecordData[Seed B],RecordData[Query ID],"="&amp;SUBSTITUTE(SUBSTITUTE(SUBSTITUTE(A7,"~","~~"),"*","~*"),"?","~?"))))</x:f>
      </x:c>
      <x:c r="O7" s="18" t="str">
        <x:f>IF(A7="","",IF(INDEX(QueryData[Capture status],MATCH(SUBSTITUTE(SUBSTITUTE(SUBSTITUTE(A7,"~","~~"),"*","~*"),"?","~?"),QueryData[Query ID],0))&lt;&gt;"Ready","",IF(L7=0,"No seeds specified",M7/L7)))</x:f>
      </x:c>
      <x:c r="P7" s="18" t="str">
        <x:f>IF(A7="","",IF(INDEX(QueryData[Capture status],MATCH(SUBSTITUTE(SUBSTITUTE(SUBSTITUTE(A7,"~","~~"),"*","~*"),"?","~?"),QueryData[Query ID],0))&lt;&gt;"Ready","",IF(L7=0,"No seeds specified",N7/L7)))</x:f>
      </x:c>
      <x:c r="Q7" s="18" t="str">
        <x:f>IF(A7="","",IF(OR(INDEX(QueryData[Capture status],MATCH(SUBSTITUTE(SUBSTITUTE(SUBSTITUTE(A7,"~","~~"),"*","~*"),"?","~?"),QueryData[Query ID],0))&lt;&gt;"Ready",L7=0),"",P7-O7))</x:f>
      </x:c>
    </x:row>
    <x:row r="8" ht="48" customHeight="1">
      <x:c r="A8" s="11" t="str">
        <x:f>IF(Queries!A8="","",Queries!A8)</x:f>
      </x:c>
      <x:c r="B8" s="13" t="str">
        <x:f>IF(A8="","",INDEX(QueryData[Probe],MATCH(SUBSTITUTE(SUBSTITUTE(SUBSTITUTE(A8,"~","~~"),"*","~*"),"?","~?"),QueryData[Query ID],0)))</x:f>
      </x:c>
      <x:c r="C8" s="13" t="str">
        <x:f>IF(A8="","",IF(INDEX(QueryData[Capture status],MATCH(SUBSTITUTE(SUBSTITUTE(SUBSTITUTE(A8,"~","~~"),"*","~*"),"?","~?"),QueryData[Query ID],0))&lt;&gt;"Ready",INDEX(QueryData[Capture status],MATCH(SUBSTITUTE(SUBSTITUTE(SUBSTITUTE(A8,"~","~~"),"*","~*"),"?","~?"),QueryData[Query ID],0)),IF(INDEX(QueryData[Judgement status],MATCH(SUBSTITUTE(SUBSTITUTE(SUBSTITUTE(A8,"~","~~"),"*","~*"),"?","~?"),QueryData[Query ID],0))&lt;&gt;"Judged",INDEX(QueryData[Judgement status],MATCH(SUBSTITUTE(SUBSTITUTE(SUBSTITUTE(A8,"~","~~"),"*","~*"),"?","~?"),QueryData[Query ID],0)),"Ready")))</x:f>
      </x:c>
      <x:c r="D8" s="11" t="str">
        <x:f>IF(A8="","",SUMIFS(RecordData[In A at k],RecordData[Query ID],"="&amp;SUBSTITUTE(SUBSTITUTE(SUBSTITUTE(A8,"~","~~"),"*","~*"),"?","~?")))</x:f>
      </x:c>
      <x:c r="E8" s="11" t="str">
        <x:f>IF(A8="","",SUMIFS(RecordData[In B at k],RecordData[Query ID],"="&amp;SUBSTITUTE(SUBSTITUTE(SUBSTITUTE(A8,"~","~~"),"*","~*"),"?","~?")))</x:f>
      </x:c>
      <x:c r="F8" s="11" t="str">
        <x:f>IF(C8&lt;&gt;"Ready","",SUMIFS(RecordData[Relevant A],RecordData[Query ID],"="&amp;SUBSTITUTE(SUBSTITUTE(SUBSTITUTE(A8,"~","~~"),"*","~*"),"?","~?")))</x:f>
      </x:c>
      <x:c r="G8" s="11" t="str">
        <x:f>IF(C8&lt;&gt;"Ready","",SUMIFS(RecordData[Relevant B],RecordData[Query ID],"="&amp;SUBSTITUTE(SUBSTITUTE(SUBSTITUTE(A8,"~","~~"),"*","~*"),"?","~?")))</x:f>
      </x:c>
      <x:c r="H8" s="11" t="str">
        <x:f>IF(A8="","",$B$4)</x:f>
      </x:c>
      <x:c r="I8" s="18" t="str">
        <x:f>IF(C8&lt;&gt;"Ready","",F8/H8)</x:f>
      </x:c>
      <x:c r="J8" s="18" t="str">
        <x:f>IF(C8&lt;&gt;"Ready","",G8/H8)</x:f>
      </x:c>
      <x:c r="K8" s="18" t="str">
        <x:f>IF(C8&lt;&gt;"Ready","",J8-I8)</x:f>
      </x:c>
      <x:c r="L8" s="11" t="str">
        <x:f>IF(A8="","",SUMIFS(RecordData[Seed total],RecordData[Query ID],"="&amp;SUBSTITUTE(SUBSTITUTE(SUBSTITUTE(A8,"~","~~"),"*","~*"),"?","~?")))</x:f>
      </x:c>
      <x:c r="M8" s="11" t="str">
        <x:f>IF(A8="","",IF(INDEX(QueryData[Capture status],MATCH(SUBSTITUTE(SUBSTITUTE(SUBSTITUTE(A8,"~","~~"),"*","~*"),"?","~?"),QueryData[Query ID],0))&lt;&gt;"Ready","",SUMIFS(RecordData[Seed A],RecordData[Query ID],"="&amp;SUBSTITUTE(SUBSTITUTE(SUBSTITUTE(A8,"~","~~"),"*","~*"),"?","~?"))))</x:f>
      </x:c>
      <x:c r="N8" s="11" t="str">
        <x:f>IF(A8="","",IF(INDEX(QueryData[Capture status],MATCH(SUBSTITUTE(SUBSTITUTE(SUBSTITUTE(A8,"~","~~"),"*","~*"),"?","~?"),QueryData[Query ID],0))&lt;&gt;"Ready","",SUMIFS(RecordData[Seed B],RecordData[Query ID],"="&amp;SUBSTITUTE(SUBSTITUTE(SUBSTITUTE(A8,"~","~~"),"*","~*"),"?","~?"))))</x:f>
      </x:c>
      <x:c r="O8" s="18" t="str">
        <x:f>IF(A8="","",IF(INDEX(QueryData[Capture status],MATCH(SUBSTITUTE(SUBSTITUTE(SUBSTITUTE(A8,"~","~~"),"*","~*"),"?","~?"),QueryData[Query ID],0))&lt;&gt;"Ready","",IF(L8=0,"No seeds specified",M8/L8)))</x:f>
      </x:c>
      <x:c r="P8" s="18" t="str">
        <x:f>IF(A8="","",IF(INDEX(QueryData[Capture status],MATCH(SUBSTITUTE(SUBSTITUTE(SUBSTITUTE(A8,"~","~~"),"*","~*"),"?","~?"),QueryData[Query ID],0))&lt;&gt;"Ready","",IF(L8=0,"No seeds specified",N8/L8)))</x:f>
      </x:c>
      <x:c r="Q8" s="18" t="str">
        <x:f>IF(A8="","",IF(OR(INDEX(QueryData[Capture status],MATCH(SUBSTITUTE(SUBSTITUTE(SUBSTITUTE(A8,"~","~~"),"*","~*"),"?","~?"),QueryData[Query ID],0))&lt;&gt;"Ready",L8=0),"",P8-O8))</x:f>
      </x:c>
    </x:row>
    <x:row r="9" ht="48" customHeight="1">
      <x:c r="A9" s="11" t="str">
        <x:f>IF(Queries!A9="","",Queries!A9)</x:f>
      </x:c>
      <x:c r="B9" s="13" t="str">
        <x:f>IF(A9="","",INDEX(QueryData[Probe],MATCH(SUBSTITUTE(SUBSTITUTE(SUBSTITUTE(A9,"~","~~"),"*","~*"),"?","~?"),QueryData[Query ID],0)))</x:f>
      </x:c>
      <x:c r="C9" s="13" t="str">
        <x:f>IF(A9="","",IF(INDEX(QueryData[Capture status],MATCH(SUBSTITUTE(SUBSTITUTE(SUBSTITUTE(A9,"~","~~"),"*","~*"),"?","~?"),QueryData[Query ID],0))&lt;&gt;"Ready",INDEX(QueryData[Capture status],MATCH(SUBSTITUTE(SUBSTITUTE(SUBSTITUTE(A9,"~","~~"),"*","~*"),"?","~?"),QueryData[Query ID],0)),IF(INDEX(QueryData[Judgement status],MATCH(SUBSTITUTE(SUBSTITUTE(SUBSTITUTE(A9,"~","~~"),"*","~*"),"?","~?"),QueryData[Query ID],0))&lt;&gt;"Judged",INDEX(QueryData[Judgement status],MATCH(SUBSTITUTE(SUBSTITUTE(SUBSTITUTE(A9,"~","~~"),"*","~*"),"?","~?"),QueryData[Query ID],0)),"Ready")))</x:f>
      </x:c>
      <x:c r="D9" s="11" t="str">
        <x:f>IF(A9="","",SUMIFS(RecordData[In A at k],RecordData[Query ID],"="&amp;SUBSTITUTE(SUBSTITUTE(SUBSTITUTE(A9,"~","~~"),"*","~*"),"?","~?")))</x:f>
      </x:c>
      <x:c r="E9" s="11" t="str">
        <x:f>IF(A9="","",SUMIFS(RecordData[In B at k],RecordData[Query ID],"="&amp;SUBSTITUTE(SUBSTITUTE(SUBSTITUTE(A9,"~","~~"),"*","~*"),"?","~?")))</x:f>
      </x:c>
      <x:c r="F9" s="11" t="str">
        <x:f>IF(C9&lt;&gt;"Ready","",SUMIFS(RecordData[Relevant A],RecordData[Query ID],"="&amp;SUBSTITUTE(SUBSTITUTE(SUBSTITUTE(A9,"~","~~"),"*","~*"),"?","~?")))</x:f>
      </x:c>
      <x:c r="G9" s="11" t="str">
        <x:f>IF(C9&lt;&gt;"Ready","",SUMIFS(RecordData[Relevant B],RecordData[Query ID],"="&amp;SUBSTITUTE(SUBSTITUTE(SUBSTITUTE(A9,"~","~~"),"*","~*"),"?","~?")))</x:f>
      </x:c>
      <x:c r="H9" s="11" t="str">
        <x:f>IF(A9="","",$B$4)</x:f>
      </x:c>
      <x:c r="I9" s="18" t="str">
        <x:f>IF(C9&lt;&gt;"Ready","",F9/H9)</x:f>
      </x:c>
      <x:c r="J9" s="18" t="str">
        <x:f>IF(C9&lt;&gt;"Ready","",G9/H9)</x:f>
      </x:c>
      <x:c r="K9" s="18" t="str">
        <x:f>IF(C9&lt;&gt;"Ready","",J9-I9)</x:f>
      </x:c>
      <x:c r="L9" s="11" t="str">
        <x:f>IF(A9="","",SUMIFS(RecordData[Seed total],RecordData[Query ID],"="&amp;SUBSTITUTE(SUBSTITUTE(SUBSTITUTE(A9,"~","~~"),"*","~*"),"?","~?")))</x:f>
      </x:c>
      <x:c r="M9" s="11" t="str">
        <x:f>IF(A9="","",IF(INDEX(QueryData[Capture status],MATCH(SUBSTITUTE(SUBSTITUTE(SUBSTITUTE(A9,"~","~~"),"*","~*"),"?","~?"),QueryData[Query ID],0))&lt;&gt;"Ready","",SUMIFS(RecordData[Seed A],RecordData[Query ID],"="&amp;SUBSTITUTE(SUBSTITUTE(SUBSTITUTE(A9,"~","~~"),"*","~*"),"?","~?"))))</x:f>
      </x:c>
      <x:c r="N9" s="11" t="str">
        <x:f>IF(A9="","",IF(INDEX(QueryData[Capture status],MATCH(SUBSTITUTE(SUBSTITUTE(SUBSTITUTE(A9,"~","~~"),"*","~*"),"?","~?"),QueryData[Query ID],0))&lt;&gt;"Ready","",SUMIFS(RecordData[Seed B],RecordData[Query ID],"="&amp;SUBSTITUTE(SUBSTITUTE(SUBSTITUTE(A9,"~","~~"),"*","~*"),"?","~?"))))</x:f>
      </x:c>
      <x:c r="O9" s="18" t="str">
        <x:f>IF(A9="","",IF(INDEX(QueryData[Capture status],MATCH(SUBSTITUTE(SUBSTITUTE(SUBSTITUTE(A9,"~","~~"),"*","~*"),"?","~?"),QueryData[Query ID],0))&lt;&gt;"Ready","",IF(L9=0,"No seeds specified",M9/L9)))</x:f>
      </x:c>
      <x:c r="P9" s="18" t="str">
        <x:f>IF(A9="","",IF(INDEX(QueryData[Capture status],MATCH(SUBSTITUTE(SUBSTITUTE(SUBSTITUTE(A9,"~","~~"),"*","~*"),"?","~?"),QueryData[Query ID],0))&lt;&gt;"Ready","",IF(L9=0,"No seeds specified",N9/L9)))</x:f>
      </x:c>
      <x:c r="Q9" s="18" t="str">
        <x:f>IF(A9="","",IF(OR(INDEX(QueryData[Capture status],MATCH(SUBSTITUTE(SUBSTITUTE(SUBSTITUTE(A9,"~","~~"),"*","~*"),"?","~?"),QueryData[Query ID],0))&lt;&gt;"Ready",L9=0),"",P9-O9))</x:f>
      </x:c>
    </x:row>
    <x:row r="10" ht="48" customHeight="1">
      <x:c r="A10" s="11" t="str">
        <x:f>IF(Queries!A10="","",Queries!A10)</x:f>
      </x:c>
      <x:c r="B10" s="13" t="str">
        <x:f>IF(A10="","",INDEX(QueryData[Probe],MATCH(SUBSTITUTE(SUBSTITUTE(SUBSTITUTE(A10,"~","~~"),"*","~*"),"?","~?"),QueryData[Query ID],0)))</x:f>
      </x:c>
      <x:c r="C10" s="13" t="str">
        <x:f>IF(A10="","",IF(INDEX(QueryData[Capture status],MATCH(SUBSTITUTE(SUBSTITUTE(SUBSTITUTE(A10,"~","~~"),"*","~*"),"?","~?"),QueryData[Query ID],0))&lt;&gt;"Ready",INDEX(QueryData[Capture status],MATCH(SUBSTITUTE(SUBSTITUTE(SUBSTITUTE(A10,"~","~~"),"*","~*"),"?","~?"),QueryData[Query ID],0)),IF(INDEX(QueryData[Judgement status],MATCH(SUBSTITUTE(SUBSTITUTE(SUBSTITUTE(A10,"~","~~"),"*","~*"),"?","~?"),QueryData[Query ID],0))&lt;&gt;"Judged",INDEX(QueryData[Judgement status],MATCH(SUBSTITUTE(SUBSTITUTE(SUBSTITUTE(A10,"~","~~"),"*","~*"),"?","~?"),QueryData[Query ID],0)),"Ready")))</x:f>
      </x:c>
      <x:c r="D10" s="11" t="str">
        <x:f>IF(A10="","",SUMIFS(RecordData[In A at k],RecordData[Query ID],"="&amp;SUBSTITUTE(SUBSTITUTE(SUBSTITUTE(A10,"~","~~"),"*","~*"),"?","~?")))</x:f>
      </x:c>
      <x:c r="E10" s="11" t="str">
        <x:f>IF(A10="","",SUMIFS(RecordData[In B at k],RecordData[Query ID],"="&amp;SUBSTITUTE(SUBSTITUTE(SUBSTITUTE(A10,"~","~~"),"*","~*"),"?","~?")))</x:f>
      </x:c>
      <x:c r="F10" s="11" t="str">
        <x:f>IF(C10&lt;&gt;"Ready","",SUMIFS(RecordData[Relevant A],RecordData[Query ID],"="&amp;SUBSTITUTE(SUBSTITUTE(SUBSTITUTE(A10,"~","~~"),"*","~*"),"?","~?")))</x:f>
      </x:c>
      <x:c r="G10" s="11" t="str">
        <x:f>IF(C10&lt;&gt;"Ready","",SUMIFS(RecordData[Relevant B],RecordData[Query ID],"="&amp;SUBSTITUTE(SUBSTITUTE(SUBSTITUTE(A10,"~","~~"),"*","~*"),"?","~?")))</x:f>
      </x:c>
      <x:c r="H10" s="11" t="str">
        <x:f>IF(A10="","",$B$4)</x:f>
      </x:c>
      <x:c r="I10" s="18" t="str">
        <x:f>IF(C10&lt;&gt;"Ready","",F10/H10)</x:f>
      </x:c>
      <x:c r="J10" s="18" t="str">
        <x:f>IF(C10&lt;&gt;"Ready","",G10/H10)</x:f>
      </x:c>
      <x:c r="K10" s="18" t="str">
        <x:f>IF(C10&lt;&gt;"Ready","",J10-I10)</x:f>
      </x:c>
      <x:c r="L10" s="11" t="str">
        <x:f>IF(A10="","",SUMIFS(RecordData[Seed total],RecordData[Query ID],"="&amp;SUBSTITUTE(SUBSTITUTE(SUBSTITUTE(A10,"~","~~"),"*","~*"),"?","~?")))</x:f>
      </x:c>
      <x:c r="M10" s="11" t="str">
        <x:f>IF(A10="","",IF(INDEX(QueryData[Capture status],MATCH(SUBSTITUTE(SUBSTITUTE(SUBSTITUTE(A10,"~","~~"),"*","~*"),"?","~?"),QueryData[Query ID],0))&lt;&gt;"Ready","",SUMIFS(RecordData[Seed A],RecordData[Query ID],"="&amp;SUBSTITUTE(SUBSTITUTE(SUBSTITUTE(A10,"~","~~"),"*","~*"),"?","~?"))))</x:f>
      </x:c>
      <x:c r="N10" s="11" t="str">
        <x:f>IF(A10="","",IF(INDEX(QueryData[Capture status],MATCH(SUBSTITUTE(SUBSTITUTE(SUBSTITUTE(A10,"~","~~"),"*","~*"),"?","~?"),QueryData[Query ID],0))&lt;&gt;"Ready","",SUMIFS(RecordData[Seed B],RecordData[Query ID],"="&amp;SUBSTITUTE(SUBSTITUTE(SUBSTITUTE(A10,"~","~~"),"*","~*"),"?","~?"))))</x:f>
      </x:c>
      <x:c r="O10" s="18" t="str">
        <x:f>IF(A10="","",IF(INDEX(QueryData[Capture status],MATCH(SUBSTITUTE(SUBSTITUTE(SUBSTITUTE(A10,"~","~~"),"*","~*"),"?","~?"),QueryData[Query ID],0))&lt;&gt;"Ready","",IF(L10=0,"No seeds specified",M10/L10)))</x:f>
      </x:c>
      <x:c r="P10" s="18" t="str">
        <x:f>IF(A10="","",IF(INDEX(QueryData[Capture status],MATCH(SUBSTITUTE(SUBSTITUTE(SUBSTITUTE(A10,"~","~~"),"*","~*"),"?","~?"),QueryData[Query ID],0))&lt;&gt;"Ready","",IF(L10=0,"No seeds specified",N10/L10)))</x:f>
      </x:c>
      <x:c r="Q10" s="18" t="str">
        <x:f>IF(A10="","",IF(OR(INDEX(QueryData[Capture status],MATCH(SUBSTITUTE(SUBSTITUTE(SUBSTITUTE(A10,"~","~~"),"*","~*"),"?","~?"),QueryData[Query ID],0))&lt;&gt;"Ready",L10=0),"",P10-O10))</x:f>
      </x:c>
    </x:row>
    <x:row r="11" ht="48" customHeight="1">
      <x:c r="A11" s="11" t="str">
        <x:f>IF(Queries!A11="","",Queries!A11)</x:f>
      </x:c>
      <x:c r="B11" s="13" t="str">
        <x:f>IF(A11="","",INDEX(QueryData[Probe],MATCH(SUBSTITUTE(SUBSTITUTE(SUBSTITUTE(A11,"~","~~"),"*","~*"),"?","~?"),QueryData[Query ID],0)))</x:f>
      </x:c>
      <x:c r="C11" s="13" t="str">
        <x:f>IF(A11="","",IF(INDEX(QueryData[Capture status],MATCH(SUBSTITUTE(SUBSTITUTE(SUBSTITUTE(A11,"~","~~"),"*","~*"),"?","~?"),QueryData[Query ID],0))&lt;&gt;"Ready",INDEX(QueryData[Capture status],MATCH(SUBSTITUTE(SUBSTITUTE(SUBSTITUTE(A11,"~","~~"),"*","~*"),"?","~?"),QueryData[Query ID],0)),IF(INDEX(QueryData[Judgement status],MATCH(SUBSTITUTE(SUBSTITUTE(SUBSTITUTE(A11,"~","~~"),"*","~*"),"?","~?"),QueryData[Query ID],0))&lt;&gt;"Judged",INDEX(QueryData[Judgement status],MATCH(SUBSTITUTE(SUBSTITUTE(SUBSTITUTE(A11,"~","~~"),"*","~*"),"?","~?"),QueryData[Query ID],0)),"Ready")))</x:f>
      </x:c>
      <x:c r="D11" s="11" t="str">
        <x:f>IF(A11="","",SUMIFS(RecordData[In A at k],RecordData[Query ID],"="&amp;SUBSTITUTE(SUBSTITUTE(SUBSTITUTE(A11,"~","~~"),"*","~*"),"?","~?")))</x:f>
      </x:c>
      <x:c r="E11" s="11" t="str">
        <x:f>IF(A11="","",SUMIFS(RecordData[In B at k],RecordData[Query ID],"="&amp;SUBSTITUTE(SUBSTITUTE(SUBSTITUTE(A11,"~","~~"),"*","~*"),"?","~?")))</x:f>
      </x:c>
      <x:c r="F11" s="11" t="str">
        <x:f>IF(C11&lt;&gt;"Ready","",SUMIFS(RecordData[Relevant A],RecordData[Query ID],"="&amp;SUBSTITUTE(SUBSTITUTE(SUBSTITUTE(A11,"~","~~"),"*","~*"),"?","~?")))</x:f>
      </x:c>
      <x:c r="G11" s="11" t="str">
        <x:f>IF(C11&lt;&gt;"Ready","",SUMIFS(RecordData[Relevant B],RecordData[Query ID],"="&amp;SUBSTITUTE(SUBSTITUTE(SUBSTITUTE(A11,"~","~~"),"*","~*"),"?","~?")))</x:f>
      </x:c>
      <x:c r="H11" s="11" t="str">
        <x:f>IF(A11="","",$B$4)</x:f>
      </x:c>
      <x:c r="I11" s="18" t="str">
        <x:f>IF(C11&lt;&gt;"Ready","",F11/H11)</x:f>
      </x:c>
      <x:c r="J11" s="18" t="str">
        <x:f>IF(C11&lt;&gt;"Ready","",G11/H11)</x:f>
      </x:c>
      <x:c r="K11" s="18" t="str">
        <x:f>IF(C11&lt;&gt;"Ready","",J11-I11)</x:f>
      </x:c>
      <x:c r="L11" s="11" t="str">
        <x:f>IF(A11="","",SUMIFS(RecordData[Seed total],RecordData[Query ID],"="&amp;SUBSTITUTE(SUBSTITUTE(SUBSTITUTE(A11,"~","~~"),"*","~*"),"?","~?")))</x:f>
      </x:c>
      <x:c r="M11" s="11" t="str">
        <x:f>IF(A11="","",IF(INDEX(QueryData[Capture status],MATCH(SUBSTITUTE(SUBSTITUTE(SUBSTITUTE(A11,"~","~~"),"*","~*"),"?","~?"),QueryData[Query ID],0))&lt;&gt;"Ready","",SUMIFS(RecordData[Seed A],RecordData[Query ID],"="&amp;SUBSTITUTE(SUBSTITUTE(SUBSTITUTE(A11,"~","~~"),"*","~*"),"?","~?"))))</x:f>
      </x:c>
      <x:c r="N11" s="11" t="str">
        <x:f>IF(A11="","",IF(INDEX(QueryData[Capture status],MATCH(SUBSTITUTE(SUBSTITUTE(SUBSTITUTE(A11,"~","~~"),"*","~*"),"?","~?"),QueryData[Query ID],0))&lt;&gt;"Ready","",SUMIFS(RecordData[Seed B],RecordData[Query ID],"="&amp;SUBSTITUTE(SUBSTITUTE(SUBSTITUTE(A11,"~","~~"),"*","~*"),"?","~?"))))</x:f>
      </x:c>
      <x:c r="O11" s="18" t="str">
        <x:f>IF(A11="","",IF(INDEX(QueryData[Capture status],MATCH(SUBSTITUTE(SUBSTITUTE(SUBSTITUTE(A11,"~","~~"),"*","~*"),"?","~?"),QueryData[Query ID],0))&lt;&gt;"Ready","",IF(L11=0,"No seeds specified",M11/L11)))</x:f>
      </x:c>
      <x:c r="P11" s="18" t="str">
        <x:f>IF(A11="","",IF(INDEX(QueryData[Capture status],MATCH(SUBSTITUTE(SUBSTITUTE(SUBSTITUTE(A11,"~","~~"),"*","~*"),"?","~?"),QueryData[Query ID],0))&lt;&gt;"Ready","",IF(L11=0,"No seeds specified",N11/L11)))</x:f>
      </x:c>
      <x:c r="Q11" s="18" t="str">
        <x:f>IF(A11="","",IF(OR(INDEX(QueryData[Capture status],MATCH(SUBSTITUTE(SUBSTITUTE(SUBSTITUTE(A11,"~","~~"),"*","~*"),"?","~?"),QueryData[Query ID],0))&lt;&gt;"Ready",L11=0),"",P11-O11))</x:f>
      </x:c>
    </x:row>
    <x:row r="12" ht="48" customHeight="1">
      <x:c r="A12" s="11" t="str">
        <x:f>IF(Queries!A12="","",Queries!A12)</x:f>
      </x:c>
      <x:c r="B12" s="13" t="str">
        <x:f>IF(A12="","",INDEX(QueryData[Probe],MATCH(SUBSTITUTE(SUBSTITUTE(SUBSTITUTE(A12,"~","~~"),"*","~*"),"?","~?"),QueryData[Query ID],0)))</x:f>
      </x:c>
      <x:c r="C12" s="13" t="str">
        <x:f>IF(A12="","",IF(INDEX(QueryData[Capture status],MATCH(SUBSTITUTE(SUBSTITUTE(SUBSTITUTE(A12,"~","~~"),"*","~*"),"?","~?"),QueryData[Query ID],0))&lt;&gt;"Ready",INDEX(QueryData[Capture status],MATCH(SUBSTITUTE(SUBSTITUTE(SUBSTITUTE(A12,"~","~~"),"*","~*"),"?","~?"),QueryData[Query ID],0)),IF(INDEX(QueryData[Judgement status],MATCH(SUBSTITUTE(SUBSTITUTE(SUBSTITUTE(A12,"~","~~"),"*","~*"),"?","~?"),QueryData[Query ID],0))&lt;&gt;"Judged",INDEX(QueryData[Judgement status],MATCH(SUBSTITUTE(SUBSTITUTE(SUBSTITUTE(A12,"~","~~"),"*","~*"),"?","~?"),QueryData[Query ID],0)),"Ready")))</x:f>
      </x:c>
      <x:c r="D12" s="11" t="str">
        <x:f>IF(A12="","",SUMIFS(RecordData[In A at k],RecordData[Query ID],"="&amp;SUBSTITUTE(SUBSTITUTE(SUBSTITUTE(A12,"~","~~"),"*","~*"),"?","~?")))</x:f>
      </x:c>
      <x:c r="E12" s="11" t="str">
        <x:f>IF(A12="","",SUMIFS(RecordData[In B at k],RecordData[Query ID],"="&amp;SUBSTITUTE(SUBSTITUTE(SUBSTITUTE(A12,"~","~~"),"*","~*"),"?","~?")))</x:f>
      </x:c>
      <x:c r="F12" s="11" t="str">
        <x:f>IF(C12&lt;&gt;"Ready","",SUMIFS(RecordData[Relevant A],RecordData[Query ID],"="&amp;SUBSTITUTE(SUBSTITUTE(SUBSTITUTE(A12,"~","~~"),"*","~*"),"?","~?")))</x:f>
      </x:c>
      <x:c r="G12" s="11" t="str">
        <x:f>IF(C12&lt;&gt;"Ready","",SUMIFS(RecordData[Relevant B],RecordData[Query ID],"="&amp;SUBSTITUTE(SUBSTITUTE(SUBSTITUTE(A12,"~","~~"),"*","~*"),"?","~?")))</x:f>
      </x:c>
      <x:c r="H12" s="11" t="str">
        <x:f>IF(A12="","",$B$4)</x:f>
      </x:c>
      <x:c r="I12" s="18" t="str">
        <x:f>IF(C12&lt;&gt;"Ready","",F12/H12)</x:f>
      </x:c>
      <x:c r="J12" s="18" t="str">
        <x:f>IF(C12&lt;&gt;"Ready","",G12/H12)</x:f>
      </x:c>
      <x:c r="K12" s="18" t="str">
        <x:f>IF(C12&lt;&gt;"Ready","",J12-I12)</x:f>
      </x:c>
      <x:c r="L12" s="11" t="str">
        <x:f>IF(A12="","",SUMIFS(RecordData[Seed total],RecordData[Query ID],"="&amp;SUBSTITUTE(SUBSTITUTE(SUBSTITUTE(A12,"~","~~"),"*","~*"),"?","~?")))</x:f>
      </x:c>
      <x:c r="M12" s="11" t="str">
        <x:f>IF(A12="","",IF(INDEX(QueryData[Capture status],MATCH(SUBSTITUTE(SUBSTITUTE(SUBSTITUTE(A12,"~","~~"),"*","~*"),"?","~?"),QueryData[Query ID],0))&lt;&gt;"Ready","",SUMIFS(RecordData[Seed A],RecordData[Query ID],"="&amp;SUBSTITUTE(SUBSTITUTE(SUBSTITUTE(A12,"~","~~"),"*","~*"),"?","~?"))))</x:f>
      </x:c>
      <x:c r="N12" s="11" t="str">
        <x:f>IF(A12="","",IF(INDEX(QueryData[Capture status],MATCH(SUBSTITUTE(SUBSTITUTE(SUBSTITUTE(A12,"~","~~"),"*","~*"),"?","~?"),QueryData[Query ID],0))&lt;&gt;"Ready","",SUMIFS(RecordData[Seed B],RecordData[Query ID],"="&amp;SUBSTITUTE(SUBSTITUTE(SUBSTITUTE(A12,"~","~~"),"*","~*"),"?","~?"))))</x:f>
      </x:c>
      <x:c r="O12" s="18" t="str">
        <x:f>IF(A12="","",IF(INDEX(QueryData[Capture status],MATCH(SUBSTITUTE(SUBSTITUTE(SUBSTITUTE(A12,"~","~~"),"*","~*"),"?","~?"),QueryData[Query ID],0))&lt;&gt;"Ready","",IF(L12=0,"No seeds specified",M12/L12)))</x:f>
      </x:c>
      <x:c r="P12" s="18" t="str">
        <x:f>IF(A12="","",IF(INDEX(QueryData[Capture status],MATCH(SUBSTITUTE(SUBSTITUTE(SUBSTITUTE(A12,"~","~~"),"*","~*"),"?","~?"),QueryData[Query ID],0))&lt;&gt;"Ready","",IF(L12=0,"No seeds specified",N12/L12)))</x:f>
      </x:c>
      <x:c r="Q12" s="18" t="str">
        <x:f>IF(A12="","",IF(OR(INDEX(QueryData[Capture status],MATCH(SUBSTITUTE(SUBSTITUTE(SUBSTITUTE(A12,"~","~~"),"*","~*"),"?","~?"),QueryData[Query ID],0))&lt;&gt;"Ready",L12=0),"",P12-O12))</x:f>
      </x:c>
    </x:row>
    <x:row r="13" ht="48" customHeight="1">
      <x:c r="A13" s="11" t="str">
        <x:f>IF(Queries!A13="","",Queries!A13)</x:f>
      </x:c>
      <x:c r="B13" s="13" t="str">
        <x:f>IF(A13="","",INDEX(QueryData[Probe],MATCH(SUBSTITUTE(SUBSTITUTE(SUBSTITUTE(A13,"~","~~"),"*","~*"),"?","~?"),QueryData[Query ID],0)))</x:f>
      </x:c>
      <x:c r="C13" s="13" t="str">
        <x:f>IF(A13="","",IF(INDEX(QueryData[Capture status],MATCH(SUBSTITUTE(SUBSTITUTE(SUBSTITUTE(A13,"~","~~"),"*","~*"),"?","~?"),QueryData[Query ID],0))&lt;&gt;"Ready",INDEX(QueryData[Capture status],MATCH(SUBSTITUTE(SUBSTITUTE(SUBSTITUTE(A13,"~","~~"),"*","~*"),"?","~?"),QueryData[Query ID],0)),IF(INDEX(QueryData[Judgement status],MATCH(SUBSTITUTE(SUBSTITUTE(SUBSTITUTE(A13,"~","~~"),"*","~*"),"?","~?"),QueryData[Query ID],0))&lt;&gt;"Judged",INDEX(QueryData[Judgement status],MATCH(SUBSTITUTE(SUBSTITUTE(SUBSTITUTE(A13,"~","~~"),"*","~*"),"?","~?"),QueryData[Query ID],0)),"Ready")))</x:f>
      </x:c>
      <x:c r="D13" s="11" t="str">
        <x:f>IF(A13="","",SUMIFS(RecordData[In A at k],RecordData[Query ID],"="&amp;SUBSTITUTE(SUBSTITUTE(SUBSTITUTE(A13,"~","~~"),"*","~*"),"?","~?")))</x:f>
      </x:c>
      <x:c r="E13" s="11" t="str">
        <x:f>IF(A13="","",SUMIFS(RecordData[In B at k],RecordData[Query ID],"="&amp;SUBSTITUTE(SUBSTITUTE(SUBSTITUTE(A13,"~","~~"),"*","~*"),"?","~?")))</x:f>
      </x:c>
      <x:c r="F13" s="11" t="str">
        <x:f>IF(C13&lt;&gt;"Ready","",SUMIFS(RecordData[Relevant A],RecordData[Query ID],"="&amp;SUBSTITUTE(SUBSTITUTE(SUBSTITUTE(A13,"~","~~"),"*","~*"),"?","~?")))</x:f>
      </x:c>
      <x:c r="G13" s="11" t="str">
        <x:f>IF(C13&lt;&gt;"Ready","",SUMIFS(RecordData[Relevant B],RecordData[Query ID],"="&amp;SUBSTITUTE(SUBSTITUTE(SUBSTITUTE(A13,"~","~~"),"*","~*"),"?","~?")))</x:f>
      </x:c>
      <x:c r="H13" s="11" t="str">
        <x:f>IF(A13="","",$B$4)</x:f>
      </x:c>
      <x:c r="I13" s="18" t="str">
        <x:f>IF(C13&lt;&gt;"Ready","",F13/H13)</x:f>
      </x:c>
      <x:c r="J13" s="18" t="str">
        <x:f>IF(C13&lt;&gt;"Ready","",G13/H13)</x:f>
      </x:c>
      <x:c r="K13" s="18" t="str">
        <x:f>IF(C13&lt;&gt;"Ready","",J13-I13)</x:f>
      </x:c>
      <x:c r="L13" s="11" t="str">
        <x:f>IF(A13="","",SUMIFS(RecordData[Seed total],RecordData[Query ID],"="&amp;SUBSTITUTE(SUBSTITUTE(SUBSTITUTE(A13,"~","~~"),"*","~*"),"?","~?")))</x:f>
      </x:c>
      <x:c r="M13" s="11" t="str">
        <x:f>IF(A13="","",IF(INDEX(QueryData[Capture status],MATCH(SUBSTITUTE(SUBSTITUTE(SUBSTITUTE(A13,"~","~~"),"*","~*"),"?","~?"),QueryData[Query ID],0))&lt;&gt;"Ready","",SUMIFS(RecordData[Seed A],RecordData[Query ID],"="&amp;SUBSTITUTE(SUBSTITUTE(SUBSTITUTE(A13,"~","~~"),"*","~*"),"?","~?"))))</x:f>
      </x:c>
      <x:c r="N13" s="11" t="str">
        <x:f>IF(A13="","",IF(INDEX(QueryData[Capture status],MATCH(SUBSTITUTE(SUBSTITUTE(SUBSTITUTE(A13,"~","~~"),"*","~*"),"?","~?"),QueryData[Query ID],0))&lt;&gt;"Ready","",SUMIFS(RecordData[Seed B],RecordData[Query ID],"="&amp;SUBSTITUTE(SUBSTITUTE(SUBSTITUTE(A13,"~","~~"),"*","~*"),"?","~?"))))</x:f>
      </x:c>
      <x:c r="O13" s="18" t="str">
        <x:f>IF(A13="","",IF(INDEX(QueryData[Capture status],MATCH(SUBSTITUTE(SUBSTITUTE(SUBSTITUTE(A13,"~","~~"),"*","~*"),"?","~?"),QueryData[Query ID],0))&lt;&gt;"Ready","",IF(L13=0,"No seeds specified",M13/L13)))</x:f>
      </x:c>
      <x:c r="P13" s="18" t="str">
        <x:f>IF(A13="","",IF(INDEX(QueryData[Capture status],MATCH(SUBSTITUTE(SUBSTITUTE(SUBSTITUTE(A13,"~","~~"),"*","~*"),"?","~?"),QueryData[Query ID],0))&lt;&gt;"Ready","",IF(L13=0,"No seeds specified",N13/L13)))</x:f>
      </x:c>
      <x:c r="Q13" s="18" t="str">
        <x:f>IF(A13="","",IF(OR(INDEX(QueryData[Capture status],MATCH(SUBSTITUTE(SUBSTITUTE(SUBSTITUTE(A13,"~","~~"),"*","~*"),"?","~?"),QueryData[Query ID],0))&lt;&gt;"Ready",L13=0),"",P13-O13))</x:f>
      </x:c>
    </x:row>
    <x:row r="14" ht="48" customHeight="1">
      <x:c r="A14" s="11" t="str">
        <x:f>IF(Queries!A14="","",Queries!A14)</x:f>
      </x:c>
      <x:c r="B14" s="13" t="str">
        <x:f>IF(A14="","",INDEX(QueryData[Probe],MATCH(SUBSTITUTE(SUBSTITUTE(SUBSTITUTE(A14,"~","~~"),"*","~*"),"?","~?"),QueryData[Query ID],0)))</x:f>
      </x:c>
      <x:c r="C14" s="13" t="str">
        <x:f>IF(A14="","",IF(INDEX(QueryData[Capture status],MATCH(SUBSTITUTE(SUBSTITUTE(SUBSTITUTE(A14,"~","~~"),"*","~*"),"?","~?"),QueryData[Query ID],0))&lt;&gt;"Ready",INDEX(QueryData[Capture status],MATCH(SUBSTITUTE(SUBSTITUTE(SUBSTITUTE(A14,"~","~~"),"*","~*"),"?","~?"),QueryData[Query ID],0)),IF(INDEX(QueryData[Judgement status],MATCH(SUBSTITUTE(SUBSTITUTE(SUBSTITUTE(A14,"~","~~"),"*","~*"),"?","~?"),QueryData[Query ID],0))&lt;&gt;"Judged",INDEX(QueryData[Judgement status],MATCH(SUBSTITUTE(SUBSTITUTE(SUBSTITUTE(A14,"~","~~"),"*","~*"),"?","~?"),QueryData[Query ID],0)),"Ready")))</x:f>
      </x:c>
      <x:c r="D14" s="11" t="str">
        <x:f>IF(A14="","",SUMIFS(RecordData[In A at k],RecordData[Query ID],"="&amp;SUBSTITUTE(SUBSTITUTE(SUBSTITUTE(A14,"~","~~"),"*","~*"),"?","~?")))</x:f>
      </x:c>
      <x:c r="E14" s="11" t="str">
        <x:f>IF(A14="","",SUMIFS(RecordData[In B at k],RecordData[Query ID],"="&amp;SUBSTITUTE(SUBSTITUTE(SUBSTITUTE(A14,"~","~~"),"*","~*"),"?","~?")))</x:f>
      </x:c>
      <x:c r="F14" s="11" t="str">
        <x:f>IF(C14&lt;&gt;"Ready","",SUMIFS(RecordData[Relevant A],RecordData[Query ID],"="&amp;SUBSTITUTE(SUBSTITUTE(SUBSTITUTE(A14,"~","~~"),"*","~*"),"?","~?")))</x:f>
      </x:c>
      <x:c r="G14" s="11" t="str">
        <x:f>IF(C14&lt;&gt;"Ready","",SUMIFS(RecordData[Relevant B],RecordData[Query ID],"="&amp;SUBSTITUTE(SUBSTITUTE(SUBSTITUTE(A14,"~","~~"),"*","~*"),"?","~?")))</x:f>
      </x:c>
      <x:c r="H14" s="11" t="str">
        <x:f>IF(A14="","",$B$4)</x:f>
      </x:c>
      <x:c r="I14" s="18" t="str">
        <x:f>IF(C14&lt;&gt;"Ready","",F14/H14)</x:f>
      </x:c>
      <x:c r="J14" s="18" t="str">
        <x:f>IF(C14&lt;&gt;"Ready","",G14/H14)</x:f>
      </x:c>
      <x:c r="K14" s="18" t="str">
        <x:f>IF(C14&lt;&gt;"Ready","",J14-I14)</x:f>
      </x:c>
      <x:c r="L14" s="11" t="str">
        <x:f>IF(A14="","",SUMIFS(RecordData[Seed total],RecordData[Query ID],"="&amp;SUBSTITUTE(SUBSTITUTE(SUBSTITUTE(A14,"~","~~"),"*","~*"),"?","~?")))</x:f>
      </x:c>
      <x:c r="M14" s="11" t="str">
        <x:f>IF(A14="","",IF(INDEX(QueryData[Capture status],MATCH(SUBSTITUTE(SUBSTITUTE(SUBSTITUTE(A14,"~","~~"),"*","~*"),"?","~?"),QueryData[Query ID],0))&lt;&gt;"Ready","",SUMIFS(RecordData[Seed A],RecordData[Query ID],"="&amp;SUBSTITUTE(SUBSTITUTE(SUBSTITUTE(A14,"~","~~"),"*","~*"),"?","~?"))))</x:f>
      </x:c>
      <x:c r="N14" s="11" t="str">
        <x:f>IF(A14="","",IF(INDEX(QueryData[Capture status],MATCH(SUBSTITUTE(SUBSTITUTE(SUBSTITUTE(A14,"~","~~"),"*","~*"),"?","~?"),QueryData[Query ID],0))&lt;&gt;"Ready","",SUMIFS(RecordData[Seed B],RecordData[Query ID],"="&amp;SUBSTITUTE(SUBSTITUTE(SUBSTITUTE(A14,"~","~~"),"*","~*"),"?","~?"))))</x:f>
      </x:c>
      <x:c r="O14" s="18" t="str">
        <x:f>IF(A14="","",IF(INDEX(QueryData[Capture status],MATCH(SUBSTITUTE(SUBSTITUTE(SUBSTITUTE(A14,"~","~~"),"*","~*"),"?","~?"),QueryData[Query ID],0))&lt;&gt;"Ready","",IF(L14=0,"No seeds specified",M14/L14)))</x:f>
      </x:c>
      <x:c r="P14" s="18" t="str">
        <x:f>IF(A14="","",IF(INDEX(QueryData[Capture status],MATCH(SUBSTITUTE(SUBSTITUTE(SUBSTITUTE(A14,"~","~~"),"*","~*"),"?","~?"),QueryData[Query ID],0))&lt;&gt;"Ready","",IF(L14=0,"No seeds specified",N14/L14)))</x:f>
      </x:c>
      <x:c r="Q14" s="18" t="str">
        <x:f>IF(A14="","",IF(OR(INDEX(QueryData[Capture status],MATCH(SUBSTITUTE(SUBSTITUTE(SUBSTITUTE(A14,"~","~~"),"*","~*"),"?","~?"),QueryData[Query ID],0))&lt;&gt;"Ready",L14=0),"",P14-O14))</x:f>
      </x:c>
    </x:row>
    <x:row r="15" ht="48" customHeight="1">
      <x:c r="A15" s="11" t="str">
        <x:f>IF(Queries!A15="","",Queries!A15)</x:f>
      </x:c>
      <x:c r="B15" s="13" t="str">
        <x:f>IF(A15="","",INDEX(QueryData[Probe],MATCH(SUBSTITUTE(SUBSTITUTE(SUBSTITUTE(A15,"~","~~"),"*","~*"),"?","~?"),QueryData[Query ID],0)))</x:f>
      </x:c>
      <x:c r="C15" s="13" t="str">
        <x:f>IF(A15="","",IF(INDEX(QueryData[Capture status],MATCH(SUBSTITUTE(SUBSTITUTE(SUBSTITUTE(A15,"~","~~"),"*","~*"),"?","~?"),QueryData[Query ID],0))&lt;&gt;"Ready",INDEX(QueryData[Capture status],MATCH(SUBSTITUTE(SUBSTITUTE(SUBSTITUTE(A15,"~","~~"),"*","~*"),"?","~?"),QueryData[Query ID],0)),IF(INDEX(QueryData[Judgement status],MATCH(SUBSTITUTE(SUBSTITUTE(SUBSTITUTE(A15,"~","~~"),"*","~*"),"?","~?"),QueryData[Query ID],0))&lt;&gt;"Judged",INDEX(QueryData[Judgement status],MATCH(SUBSTITUTE(SUBSTITUTE(SUBSTITUTE(A15,"~","~~"),"*","~*"),"?","~?"),QueryData[Query ID],0)),"Ready")))</x:f>
      </x:c>
      <x:c r="D15" s="11" t="str">
        <x:f>IF(A15="","",SUMIFS(RecordData[In A at k],RecordData[Query ID],"="&amp;SUBSTITUTE(SUBSTITUTE(SUBSTITUTE(A15,"~","~~"),"*","~*"),"?","~?")))</x:f>
      </x:c>
      <x:c r="E15" s="11" t="str">
        <x:f>IF(A15="","",SUMIFS(RecordData[In B at k],RecordData[Query ID],"="&amp;SUBSTITUTE(SUBSTITUTE(SUBSTITUTE(A15,"~","~~"),"*","~*"),"?","~?")))</x:f>
      </x:c>
      <x:c r="F15" s="11" t="str">
        <x:f>IF(C15&lt;&gt;"Ready","",SUMIFS(RecordData[Relevant A],RecordData[Query ID],"="&amp;SUBSTITUTE(SUBSTITUTE(SUBSTITUTE(A15,"~","~~"),"*","~*"),"?","~?")))</x:f>
      </x:c>
      <x:c r="G15" s="11" t="str">
        <x:f>IF(C15&lt;&gt;"Ready","",SUMIFS(RecordData[Relevant B],RecordData[Query ID],"="&amp;SUBSTITUTE(SUBSTITUTE(SUBSTITUTE(A15,"~","~~"),"*","~*"),"?","~?")))</x:f>
      </x:c>
      <x:c r="H15" s="11" t="str">
        <x:f>IF(A15="","",$B$4)</x:f>
      </x:c>
      <x:c r="I15" s="18" t="str">
        <x:f>IF(C15&lt;&gt;"Ready","",F15/H15)</x:f>
      </x:c>
      <x:c r="J15" s="18" t="str">
        <x:f>IF(C15&lt;&gt;"Ready","",G15/H15)</x:f>
      </x:c>
      <x:c r="K15" s="18" t="str">
        <x:f>IF(C15&lt;&gt;"Ready","",J15-I15)</x:f>
      </x:c>
      <x:c r="L15" s="11" t="str">
        <x:f>IF(A15="","",SUMIFS(RecordData[Seed total],RecordData[Query ID],"="&amp;SUBSTITUTE(SUBSTITUTE(SUBSTITUTE(A15,"~","~~"),"*","~*"),"?","~?")))</x:f>
      </x:c>
      <x:c r="M15" s="11" t="str">
        <x:f>IF(A15="","",IF(INDEX(QueryData[Capture status],MATCH(SUBSTITUTE(SUBSTITUTE(SUBSTITUTE(A15,"~","~~"),"*","~*"),"?","~?"),QueryData[Query ID],0))&lt;&gt;"Ready","",SUMIFS(RecordData[Seed A],RecordData[Query ID],"="&amp;SUBSTITUTE(SUBSTITUTE(SUBSTITUTE(A15,"~","~~"),"*","~*"),"?","~?"))))</x:f>
      </x:c>
      <x:c r="N15" s="11" t="str">
        <x:f>IF(A15="","",IF(INDEX(QueryData[Capture status],MATCH(SUBSTITUTE(SUBSTITUTE(SUBSTITUTE(A15,"~","~~"),"*","~*"),"?","~?"),QueryData[Query ID],0))&lt;&gt;"Ready","",SUMIFS(RecordData[Seed B],RecordData[Query ID],"="&amp;SUBSTITUTE(SUBSTITUTE(SUBSTITUTE(A15,"~","~~"),"*","~*"),"?","~?"))))</x:f>
      </x:c>
      <x:c r="O15" s="18" t="str">
        <x:f>IF(A15="","",IF(INDEX(QueryData[Capture status],MATCH(SUBSTITUTE(SUBSTITUTE(SUBSTITUTE(A15,"~","~~"),"*","~*"),"?","~?"),QueryData[Query ID],0))&lt;&gt;"Ready","",IF(L15=0,"No seeds specified",M15/L15)))</x:f>
      </x:c>
      <x:c r="P15" s="18" t="str">
        <x:f>IF(A15="","",IF(INDEX(QueryData[Capture status],MATCH(SUBSTITUTE(SUBSTITUTE(SUBSTITUTE(A15,"~","~~"),"*","~*"),"?","~?"),QueryData[Query ID],0))&lt;&gt;"Ready","",IF(L15=0,"No seeds specified",N15/L15)))</x:f>
      </x:c>
      <x:c r="Q15" s="18" t="str">
        <x:f>IF(A15="","",IF(OR(INDEX(QueryData[Capture status],MATCH(SUBSTITUTE(SUBSTITUTE(SUBSTITUTE(A15,"~","~~"),"*","~*"),"?","~?"),QueryData[Query ID],0))&lt;&gt;"Ready",L15=0),"",P15-O15))</x:f>
      </x:c>
    </x:row>
    <x:row r="16" ht="48" customHeight="1">
      <x:c r="A16" s="11" t="str">
        <x:f>IF(Queries!A16="","",Queries!A16)</x:f>
      </x:c>
      <x:c r="B16" s="13" t="str">
        <x:f>IF(A16="","",INDEX(QueryData[Probe],MATCH(SUBSTITUTE(SUBSTITUTE(SUBSTITUTE(A16,"~","~~"),"*","~*"),"?","~?"),QueryData[Query ID],0)))</x:f>
      </x:c>
      <x:c r="C16" s="13" t="str">
        <x:f>IF(A16="","",IF(INDEX(QueryData[Capture status],MATCH(SUBSTITUTE(SUBSTITUTE(SUBSTITUTE(A16,"~","~~"),"*","~*"),"?","~?"),QueryData[Query ID],0))&lt;&gt;"Ready",INDEX(QueryData[Capture status],MATCH(SUBSTITUTE(SUBSTITUTE(SUBSTITUTE(A16,"~","~~"),"*","~*"),"?","~?"),QueryData[Query ID],0)),IF(INDEX(QueryData[Judgement status],MATCH(SUBSTITUTE(SUBSTITUTE(SUBSTITUTE(A16,"~","~~"),"*","~*"),"?","~?"),QueryData[Query ID],0))&lt;&gt;"Judged",INDEX(QueryData[Judgement status],MATCH(SUBSTITUTE(SUBSTITUTE(SUBSTITUTE(A16,"~","~~"),"*","~*"),"?","~?"),QueryData[Query ID],0)),"Ready")))</x:f>
      </x:c>
      <x:c r="D16" s="11" t="str">
        <x:f>IF(A16="","",SUMIFS(RecordData[In A at k],RecordData[Query ID],"="&amp;SUBSTITUTE(SUBSTITUTE(SUBSTITUTE(A16,"~","~~"),"*","~*"),"?","~?")))</x:f>
      </x:c>
      <x:c r="E16" s="11" t="str">
        <x:f>IF(A16="","",SUMIFS(RecordData[In B at k],RecordData[Query ID],"="&amp;SUBSTITUTE(SUBSTITUTE(SUBSTITUTE(A16,"~","~~"),"*","~*"),"?","~?")))</x:f>
      </x:c>
      <x:c r="F16" s="11" t="str">
        <x:f>IF(C16&lt;&gt;"Ready","",SUMIFS(RecordData[Relevant A],RecordData[Query ID],"="&amp;SUBSTITUTE(SUBSTITUTE(SUBSTITUTE(A16,"~","~~"),"*","~*"),"?","~?")))</x:f>
      </x:c>
      <x:c r="G16" s="11" t="str">
        <x:f>IF(C16&lt;&gt;"Ready","",SUMIFS(RecordData[Relevant B],RecordData[Query ID],"="&amp;SUBSTITUTE(SUBSTITUTE(SUBSTITUTE(A16,"~","~~"),"*","~*"),"?","~?")))</x:f>
      </x:c>
      <x:c r="H16" s="11" t="str">
        <x:f>IF(A16="","",$B$4)</x:f>
      </x:c>
      <x:c r="I16" s="18" t="str">
        <x:f>IF(C16&lt;&gt;"Ready","",F16/H16)</x:f>
      </x:c>
      <x:c r="J16" s="18" t="str">
        <x:f>IF(C16&lt;&gt;"Ready","",G16/H16)</x:f>
      </x:c>
      <x:c r="K16" s="18" t="str">
        <x:f>IF(C16&lt;&gt;"Ready","",J16-I16)</x:f>
      </x:c>
      <x:c r="L16" s="11" t="str">
        <x:f>IF(A16="","",SUMIFS(RecordData[Seed total],RecordData[Query ID],"="&amp;SUBSTITUTE(SUBSTITUTE(SUBSTITUTE(A16,"~","~~"),"*","~*"),"?","~?")))</x:f>
      </x:c>
      <x:c r="M16" s="11" t="str">
        <x:f>IF(A16="","",IF(INDEX(QueryData[Capture status],MATCH(SUBSTITUTE(SUBSTITUTE(SUBSTITUTE(A16,"~","~~"),"*","~*"),"?","~?"),QueryData[Query ID],0))&lt;&gt;"Ready","",SUMIFS(RecordData[Seed A],RecordData[Query ID],"="&amp;SUBSTITUTE(SUBSTITUTE(SUBSTITUTE(A16,"~","~~"),"*","~*"),"?","~?"))))</x:f>
      </x:c>
      <x:c r="N16" s="11" t="str">
        <x:f>IF(A16="","",IF(INDEX(QueryData[Capture status],MATCH(SUBSTITUTE(SUBSTITUTE(SUBSTITUTE(A16,"~","~~"),"*","~*"),"?","~?"),QueryData[Query ID],0))&lt;&gt;"Ready","",SUMIFS(RecordData[Seed B],RecordData[Query ID],"="&amp;SUBSTITUTE(SUBSTITUTE(SUBSTITUTE(A16,"~","~~"),"*","~*"),"?","~?"))))</x:f>
      </x:c>
      <x:c r="O16" s="18" t="str">
        <x:f>IF(A16="","",IF(INDEX(QueryData[Capture status],MATCH(SUBSTITUTE(SUBSTITUTE(SUBSTITUTE(A16,"~","~~"),"*","~*"),"?","~?"),QueryData[Query ID],0))&lt;&gt;"Ready","",IF(L16=0,"No seeds specified",M16/L16)))</x:f>
      </x:c>
      <x:c r="P16" s="18" t="str">
        <x:f>IF(A16="","",IF(INDEX(QueryData[Capture status],MATCH(SUBSTITUTE(SUBSTITUTE(SUBSTITUTE(A16,"~","~~"),"*","~*"),"?","~?"),QueryData[Query ID],0))&lt;&gt;"Ready","",IF(L16=0,"No seeds specified",N16/L16)))</x:f>
      </x:c>
      <x:c r="Q16" s="18" t="str">
        <x:f>IF(A16="","",IF(OR(INDEX(QueryData[Capture status],MATCH(SUBSTITUTE(SUBSTITUTE(SUBSTITUTE(A16,"~","~~"),"*","~*"),"?","~?"),QueryData[Query ID],0))&lt;&gt;"Ready",L16=0),"",P16-O16))</x:f>
      </x:c>
    </x:row>
    <x:row r="17" ht="48" customHeight="1">
      <x:c r="A17" s="11" t="str">
        <x:f>IF(Queries!A17="","",Queries!A17)</x:f>
      </x:c>
      <x:c r="B17" s="13" t="str">
        <x:f>IF(A17="","",INDEX(QueryData[Probe],MATCH(SUBSTITUTE(SUBSTITUTE(SUBSTITUTE(A17,"~","~~"),"*","~*"),"?","~?"),QueryData[Query ID],0)))</x:f>
      </x:c>
      <x:c r="C17" s="13" t="str">
        <x:f>IF(A17="","",IF(INDEX(QueryData[Capture status],MATCH(SUBSTITUTE(SUBSTITUTE(SUBSTITUTE(A17,"~","~~"),"*","~*"),"?","~?"),QueryData[Query ID],0))&lt;&gt;"Ready",INDEX(QueryData[Capture status],MATCH(SUBSTITUTE(SUBSTITUTE(SUBSTITUTE(A17,"~","~~"),"*","~*"),"?","~?"),QueryData[Query ID],0)),IF(INDEX(QueryData[Judgement status],MATCH(SUBSTITUTE(SUBSTITUTE(SUBSTITUTE(A17,"~","~~"),"*","~*"),"?","~?"),QueryData[Query ID],0))&lt;&gt;"Judged",INDEX(QueryData[Judgement status],MATCH(SUBSTITUTE(SUBSTITUTE(SUBSTITUTE(A17,"~","~~"),"*","~*"),"?","~?"),QueryData[Query ID],0)),"Ready")))</x:f>
      </x:c>
      <x:c r="D17" s="11" t="str">
        <x:f>IF(A17="","",SUMIFS(RecordData[In A at k],RecordData[Query ID],"="&amp;SUBSTITUTE(SUBSTITUTE(SUBSTITUTE(A17,"~","~~"),"*","~*"),"?","~?")))</x:f>
      </x:c>
      <x:c r="E17" s="11" t="str">
        <x:f>IF(A17="","",SUMIFS(RecordData[In B at k],RecordData[Query ID],"="&amp;SUBSTITUTE(SUBSTITUTE(SUBSTITUTE(A17,"~","~~"),"*","~*"),"?","~?")))</x:f>
      </x:c>
      <x:c r="F17" s="11" t="str">
        <x:f>IF(C17&lt;&gt;"Ready","",SUMIFS(RecordData[Relevant A],RecordData[Query ID],"="&amp;SUBSTITUTE(SUBSTITUTE(SUBSTITUTE(A17,"~","~~"),"*","~*"),"?","~?")))</x:f>
      </x:c>
      <x:c r="G17" s="11" t="str">
        <x:f>IF(C17&lt;&gt;"Ready","",SUMIFS(RecordData[Relevant B],RecordData[Query ID],"="&amp;SUBSTITUTE(SUBSTITUTE(SUBSTITUTE(A17,"~","~~"),"*","~*"),"?","~?")))</x:f>
      </x:c>
      <x:c r="H17" s="11" t="str">
        <x:f>IF(A17="","",$B$4)</x:f>
      </x:c>
      <x:c r="I17" s="18" t="str">
        <x:f>IF(C17&lt;&gt;"Ready","",F17/H17)</x:f>
      </x:c>
      <x:c r="J17" s="18" t="str">
        <x:f>IF(C17&lt;&gt;"Ready","",G17/H17)</x:f>
      </x:c>
      <x:c r="K17" s="18" t="str">
        <x:f>IF(C17&lt;&gt;"Ready","",J17-I17)</x:f>
      </x:c>
      <x:c r="L17" s="11" t="str">
        <x:f>IF(A17="","",SUMIFS(RecordData[Seed total],RecordData[Query ID],"="&amp;SUBSTITUTE(SUBSTITUTE(SUBSTITUTE(A17,"~","~~"),"*","~*"),"?","~?")))</x:f>
      </x:c>
      <x:c r="M17" s="11" t="str">
        <x:f>IF(A17="","",IF(INDEX(QueryData[Capture status],MATCH(SUBSTITUTE(SUBSTITUTE(SUBSTITUTE(A17,"~","~~"),"*","~*"),"?","~?"),QueryData[Query ID],0))&lt;&gt;"Ready","",SUMIFS(RecordData[Seed A],RecordData[Query ID],"="&amp;SUBSTITUTE(SUBSTITUTE(SUBSTITUTE(A17,"~","~~"),"*","~*"),"?","~?"))))</x:f>
      </x:c>
      <x:c r="N17" s="11" t="str">
        <x:f>IF(A17="","",IF(INDEX(QueryData[Capture status],MATCH(SUBSTITUTE(SUBSTITUTE(SUBSTITUTE(A17,"~","~~"),"*","~*"),"?","~?"),QueryData[Query ID],0))&lt;&gt;"Ready","",SUMIFS(RecordData[Seed B],RecordData[Query ID],"="&amp;SUBSTITUTE(SUBSTITUTE(SUBSTITUTE(A17,"~","~~"),"*","~*"),"?","~?"))))</x:f>
      </x:c>
      <x:c r="O17" s="18" t="str">
        <x:f>IF(A17="","",IF(INDEX(QueryData[Capture status],MATCH(SUBSTITUTE(SUBSTITUTE(SUBSTITUTE(A17,"~","~~"),"*","~*"),"?","~?"),QueryData[Query ID],0))&lt;&gt;"Ready","",IF(L17=0,"No seeds specified",M17/L17)))</x:f>
      </x:c>
      <x:c r="P17" s="18" t="str">
        <x:f>IF(A17="","",IF(INDEX(QueryData[Capture status],MATCH(SUBSTITUTE(SUBSTITUTE(SUBSTITUTE(A17,"~","~~"),"*","~*"),"?","~?"),QueryData[Query ID],0))&lt;&gt;"Ready","",IF(L17=0,"No seeds specified",N17/L17)))</x:f>
      </x:c>
      <x:c r="Q17" s="18" t="str">
        <x:f>IF(A17="","",IF(OR(INDEX(QueryData[Capture status],MATCH(SUBSTITUTE(SUBSTITUTE(SUBSTITUTE(A17,"~","~~"),"*","~*"),"?","~?"),QueryData[Query ID],0))&lt;&gt;"Ready",L17=0),"",P17-O17))</x:f>
      </x:c>
    </x:row>
    <x:row r="18" ht="48" customHeight="1">
      <x:c r="A18" s="11" t="str">
        <x:f>IF(Queries!A18="","",Queries!A18)</x:f>
      </x:c>
      <x:c r="B18" s="13" t="str">
        <x:f>IF(A18="","",INDEX(QueryData[Probe],MATCH(SUBSTITUTE(SUBSTITUTE(SUBSTITUTE(A18,"~","~~"),"*","~*"),"?","~?"),QueryData[Query ID],0)))</x:f>
      </x:c>
      <x:c r="C18" s="13" t="str">
        <x:f>IF(A18="","",IF(INDEX(QueryData[Capture status],MATCH(SUBSTITUTE(SUBSTITUTE(SUBSTITUTE(A18,"~","~~"),"*","~*"),"?","~?"),QueryData[Query ID],0))&lt;&gt;"Ready",INDEX(QueryData[Capture status],MATCH(SUBSTITUTE(SUBSTITUTE(SUBSTITUTE(A18,"~","~~"),"*","~*"),"?","~?"),QueryData[Query ID],0)),IF(INDEX(QueryData[Judgement status],MATCH(SUBSTITUTE(SUBSTITUTE(SUBSTITUTE(A18,"~","~~"),"*","~*"),"?","~?"),QueryData[Query ID],0))&lt;&gt;"Judged",INDEX(QueryData[Judgement status],MATCH(SUBSTITUTE(SUBSTITUTE(SUBSTITUTE(A18,"~","~~"),"*","~*"),"?","~?"),QueryData[Query ID],0)),"Ready")))</x:f>
      </x:c>
      <x:c r="D18" s="11" t="str">
        <x:f>IF(A18="","",SUMIFS(RecordData[In A at k],RecordData[Query ID],"="&amp;SUBSTITUTE(SUBSTITUTE(SUBSTITUTE(A18,"~","~~"),"*","~*"),"?","~?")))</x:f>
      </x:c>
      <x:c r="E18" s="11" t="str">
        <x:f>IF(A18="","",SUMIFS(RecordData[In B at k],RecordData[Query ID],"="&amp;SUBSTITUTE(SUBSTITUTE(SUBSTITUTE(A18,"~","~~"),"*","~*"),"?","~?")))</x:f>
      </x:c>
      <x:c r="F18" s="11" t="str">
        <x:f>IF(C18&lt;&gt;"Ready","",SUMIFS(RecordData[Relevant A],RecordData[Query ID],"="&amp;SUBSTITUTE(SUBSTITUTE(SUBSTITUTE(A18,"~","~~"),"*","~*"),"?","~?")))</x:f>
      </x:c>
      <x:c r="G18" s="11" t="str">
        <x:f>IF(C18&lt;&gt;"Ready","",SUMIFS(RecordData[Relevant B],RecordData[Query ID],"="&amp;SUBSTITUTE(SUBSTITUTE(SUBSTITUTE(A18,"~","~~"),"*","~*"),"?","~?")))</x:f>
      </x:c>
      <x:c r="H18" s="11" t="str">
        <x:f>IF(A18="","",$B$4)</x:f>
      </x:c>
      <x:c r="I18" s="18" t="str">
        <x:f>IF(C18&lt;&gt;"Ready","",F18/H18)</x:f>
      </x:c>
      <x:c r="J18" s="18" t="str">
        <x:f>IF(C18&lt;&gt;"Ready","",G18/H18)</x:f>
      </x:c>
      <x:c r="K18" s="18" t="str">
        <x:f>IF(C18&lt;&gt;"Ready","",J18-I18)</x:f>
      </x:c>
      <x:c r="L18" s="11" t="str">
        <x:f>IF(A18="","",SUMIFS(RecordData[Seed total],RecordData[Query ID],"="&amp;SUBSTITUTE(SUBSTITUTE(SUBSTITUTE(A18,"~","~~"),"*","~*"),"?","~?")))</x:f>
      </x:c>
      <x:c r="M18" s="11" t="str">
        <x:f>IF(A18="","",IF(INDEX(QueryData[Capture status],MATCH(SUBSTITUTE(SUBSTITUTE(SUBSTITUTE(A18,"~","~~"),"*","~*"),"?","~?"),QueryData[Query ID],0))&lt;&gt;"Ready","",SUMIFS(RecordData[Seed A],RecordData[Query ID],"="&amp;SUBSTITUTE(SUBSTITUTE(SUBSTITUTE(A18,"~","~~"),"*","~*"),"?","~?"))))</x:f>
      </x:c>
      <x:c r="N18" s="11" t="str">
        <x:f>IF(A18="","",IF(INDEX(QueryData[Capture status],MATCH(SUBSTITUTE(SUBSTITUTE(SUBSTITUTE(A18,"~","~~"),"*","~*"),"?","~?"),QueryData[Query ID],0))&lt;&gt;"Ready","",SUMIFS(RecordData[Seed B],RecordData[Query ID],"="&amp;SUBSTITUTE(SUBSTITUTE(SUBSTITUTE(A18,"~","~~"),"*","~*"),"?","~?"))))</x:f>
      </x:c>
      <x:c r="O18" s="18" t="str">
        <x:f>IF(A18="","",IF(INDEX(QueryData[Capture status],MATCH(SUBSTITUTE(SUBSTITUTE(SUBSTITUTE(A18,"~","~~"),"*","~*"),"?","~?"),QueryData[Query ID],0))&lt;&gt;"Ready","",IF(L18=0,"No seeds specified",M18/L18)))</x:f>
      </x:c>
      <x:c r="P18" s="18" t="str">
        <x:f>IF(A18="","",IF(INDEX(QueryData[Capture status],MATCH(SUBSTITUTE(SUBSTITUTE(SUBSTITUTE(A18,"~","~~"),"*","~*"),"?","~?"),QueryData[Query ID],0))&lt;&gt;"Ready","",IF(L18=0,"No seeds specified",N18/L18)))</x:f>
      </x:c>
      <x:c r="Q18" s="18" t="str">
        <x:f>IF(A18="","",IF(OR(INDEX(QueryData[Capture status],MATCH(SUBSTITUTE(SUBSTITUTE(SUBSTITUTE(A18,"~","~~"),"*","~*"),"?","~?"),QueryData[Query ID],0))&lt;&gt;"Ready",L18=0),"",P18-O18))</x:f>
      </x:c>
    </x:row>
    <x:row r="19" ht="48" customHeight="1">
      <x:c r="A19" s="11" t="str">
        <x:f>IF(Queries!A19="","",Queries!A19)</x:f>
      </x:c>
      <x:c r="B19" s="13" t="str">
        <x:f>IF(A19="","",INDEX(QueryData[Probe],MATCH(SUBSTITUTE(SUBSTITUTE(SUBSTITUTE(A19,"~","~~"),"*","~*"),"?","~?"),QueryData[Query ID],0)))</x:f>
      </x:c>
      <x:c r="C19" s="13" t="str">
        <x:f>IF(A19="","",IF(INDEX(QueryData[Capture status],MATCH(SUBSTITUTE(SUBSTITUTE(SUBSTITUTE(A19,"~","~~"),"*","~*"),"?","~?"),QueryData[Query ID],0))&lt;&gt;"Ready",INDEX(QueryData[Capture status],MATCH(SUBSTITUTE(SUBSTITUTE(SUBSTITUTE(A19,"~","~~"),"*","~*"),"?","~?"),QueryData[Query ID],0)),IF(INDEX(QueryData[Judgement status],MATCH(SUBSTITUTE(SUBSTITUTE(SUBSTITUTE(A19,"~","~~"),"*","~*"),"?","~?"),QueryData[Query ID],0))&lt;&gt;"Judged",INDEX(QueryData[Judgement status],MATCH(SUBSTITUTE(SUBSTITUTE(SUBSTITUTE(A19,"~","~~"),"*","~*"),"?","~?"),QueryData[Query ID],0)),"Ready")))</x:f>
      </x:c>
      <x:c r="D19" s="11" t="str">
        <x:f>IF(A19="","",SUMIFS(RecordData[In A at k],RecordData[Query ID],"="&amp;SUBSTITUTE(SUBSTITUTE(SUBSTITUTE(A19,"~","~~"),"*","~*"),"?","~?")))</x:f>
      </x:c>
      <x:c r="E19" s="11" t="str">
        <x:f>IF(A19="","",SUMIFS(RecordData[In B at k],RecordData[Query ID],"="&amp;SUBSTITUTE(SUBSTITUTE(SUBSTITUTE(A19,"~","~~"),"*","~*"),"?","~?")))</x:f>
      </x:c>
      <x:c r="F19" s="11" t="str">
        <x:f>IF(C19&lt;&gt;"Ready","",SUMIFS(RecordData[Relevant A],RecordData[Query ID],"="&amp;SUBSTITUTE(SUBSTITUTE(SUBSTITUTE(A19,"~","~~"),"*","~*"),"?","~?")))</x:f>
      </x:c>
      <x:c r="G19" s="11" t="str">
        <x:f>IF(C19&lt;&gt;"Ready","",SUMIFS(RecordData[Relevant B],RecordData[Query ID],"="&amp;SUBSTITUTE(SUBSTITUTE(SUBSTITUTE(A19,"~","~~"),"*","~*"),"?","~?")))</x:f>
      </x:c>
      <x:c r="H19" s="11" t="str">
        <x:f>IF(A19="","",$B$4)</x:f>
      </x:c>
      <x:c r="I19" s="18" t="str">
        <x:f>IF(C19&lt;&gt;"Ready","",F19/H19)</x:f>
      </x:c>
      <x:c r="J19" s="18" t="str">
        <x:f>IF(C19&lt;&gt;"Ready","",G19/H19)</x:f>
      </x:c>
      <x:c r="K19" s="18" t="str">
        <x:f>IF(C19&lt;&gt;"Ready","",J19-I19)</x:f>
      </x:c>
      <x:c r="L19" s="11" t="str">
        <x:f>IF(A19="","",SUMIFS(RecordData[Seed total],RecordData[Query ID],"="&amp;SUBSTITUTE(SUBSTITUTE(SUBSTITUTE(A19,"~","~~"),"*","~*"),"?","~?")))</x:f>
      </x:c>
      <x:c r="M19" s="11" t="str">
        <x:f>IF(A19="","",IF(INDEX(QueryData[Capture status],MATCH(SUBSTITUTE(SUBSTITUTE(SUBSTITUTE(A19,"~","~~"),"*","~*"),"?","~?"),QueryData[Query ID],0))&lt;&gt;"Ready","",SUMIFS(RecordData[Seed A],RecordData[Query ID],"="&amp;SUBSTITUTE(SUBSTITUTE(SUBSTITUTE(A19,"~","~~"),"*","~*"),"?","~?"))))</x:f>
      </x:c>
      <x:c r="N19" s="11" t="str">
        <x:f>IF(A19="","",IF(INDEX(QueryData[Capture status],MATCH(SUBSTITUTE(SUBSTITUTE(SUBSTITUTE(A19,"~","~~"),"*","~*"),"?","~?"),QueryData[Query ID],0))&lt;&gt;"Ready","",SUMIFS(RecordData[Seed B],RecordData[Query ID],"="&amp;SUBSTITUTE(SUBSTITUTE(SUBSTITUTE(A19,"~","~~"),"*","~*"),"?","~?"))))</x:f>
      </x:c>
      <x:c r="O19" s="18" t="str">
        <x:f>IF(A19="","",IF(INDEX(QueryData[Capture status],MATCH(SUBSTITUTE(SUBSTITUTE(SUBSTITUTE(A19,"~","~~"),"*","~*"),"?","~?"),QueryData[Query ID],0))&lt;&gt;"Ready","",IF(L19=0,"No seeds specified",M19/L19)))</x:f>
      </x:c>
      <x:c r="P19" s="18" t="str">
        <x:f>IF(A19="","",IF(INDEX(QueryData[Capture status],MATCH(SUBSTITUTE(SUBSTITUTE(SUBSTITUTE(A19,"~","~~"),"*","~*"),"?","~?"),QueryData[Query ID],0))&lt;&gt;"Ready","",IF(L19=0,"No seeds specified",N19/L19)))</x:f>
      </x:c>
      <x:c r="Q19" s="18" t="str">
        <x:f>IF(A19="","",IF(OR(INDEX(QueryData[Capture status],MATCH(SUBSTITUTE(SUBSTITUTE(SUBSTITUTE(A19,"~","~~"),"*","~*"),"?","~?"),QueryData[Query ID],0))&lt;&gt;"Ready",L19=0),"",P19-O19))</x:f>
      </x:c>
    </x:row>
    <x:row r="20" ht="48" customHeight="1">
      <x:c r="A20" s="11" t="str">
        <x:f>IF(Queries!A20="","",Queries!A20)</x:f>
      </x:c>
      <x:c r="B20" s="13" t="str">
        <x:f>IF(A20="","",INDEX(QueryData[Probe],MATCH(SUBSTITUTE(SUBSTITUTE(SUBSTITUTE(A20,"~","~~"),"*","~*"),"?","~?"),QueryData[Query ID],0)))</x:f>
      </x:c>
      <x:c r="C20" s="13" t="str">
        <x:f>IF(A20="","",IF(INDEX(QueryData[Capture status],MATCH(SUBSTITUTE(SUBSTITUTE(SUBSTITUTE(A20,"~","~~"),"*","~*"),"?","~?"),QueryData[Query ID],0))&lt;&gt;"Ready",INDEX(QueryData[Capture status],MATCH(SUBSTITUTE(SUBSTITUTE(SUBSTITUTE(A20,"~","~~"),"*","~*"),"?","~?"),QueryData[Query ID],0)),IF(INDEX(QueryData[Judgement status],MATCH(SUBSTITUTE(SUBSTITUTE(SUBSTITUTE(A20,"~","~~"),"*","~*"),"?","~?"),QueryData[Query ID],0))&lt;&gt;"Judged",INDEX(QueryData[Judgement status],MATCH(SUBSTITUTE(SUBSTITUTE(SUBSTITUTE(A20,"~","~~"),"*","~*"),"?","~?"),QueryData[Query ID],0)),"Ready")))</x:f>
      </x:c>
      <x:c r="D20" s="11" t="str">
        <x:f>IF(A20="","",SUMIFS(RecordData[In A at k],RecordData[Query ID],"="&amp;SUBSTITUTE(SUBSTITUTE(SUBSTITUTE(A20,"~","~~"),"*","~*"),"?","~?")))</x:f>
      </x:c>
      <x:c r="E20" s="11" t="str">
        <x:f>IF(A20="","",SUMIFS(RecordData[In B at k],RecordData[Query ID],"="&amp;SUBSTITUTE(SUBSTITUTE(SUBSTITUTE(A20,"~","~~"),"*","~*"),"?","~?")))</x:f>
      </x:c>
      <x:c r="F20" s="11" t="str">
        <x:f>IF(C20&lt;&gt;"Ready","",SUMIFS(RecordData[Relevant A],RecordData[Query ID],"="&amp;SUBSTITUTE(SUBSTITUTE(SUBSTITUTE(A20,"~","~~"),"*","~*"),"?","~?")))</x:f>
      </x:c>
      <x:c r="G20" s="11" t="str">
        <x:f>IF(C20&lt;&gt;"Ready","",SUMIFS(RecordData[Relevant B],RecordData[Query ID],"="&amp;SUBSTITUTE(SUBSTITUTE(SUBSTITUTE(A20,"~","~~"),"*","~*"),"?","~?")))</x:f>
      </x:c>
      <x:c r="H20" s="11" t="str">
        <x:f>IF(A20="","",$B$4)</x:f>
      </x:c>
      <x:c r="I20" s="18" t="str">
        <x:f>IF(C20&lt;&gt;"Ready","",F20/H20)</x:f>
      </x:c>
      <x:c r="J20" s="18" t="str">
        <x:f>IF(C20&lt;&gt;"Ready","",G20/H20)</x:f>
      </x:c>
      <x:c r="K20" s="18" t="str">
        <x:f>IF(C20&lt;&gt;"Ready","",J20-I20)</x:f>
      </x:c>
      <x:c r="L20" s="11" t="str">
        <x:f>IF(A20="","",SUMIFS(RecordData[Seed total],RecordData[Query ID],"="&amp;SUBSTITUTE(SUBSTITUTE(SUBSTITUTE(A20,"~","~~"),"*","~*"),"?","~?")))</x:f>
      </x:c>
      <x:c r="M20" s="11" t="str">
        <x:f>IF(A20="","",IF(INDEX(QueryData[Capture status],MATCH(SUBSTITUTE(SUBSTITUTE(SUBSTITUTE(A20,"~","~~"),"*","~*"),"?","~?"),QueryData[Query ID],0))&lt;&gt;"Ready","",SUMIFS(RecordData[Seed A],RecordData[Query ID],"="&amp;SUBSTITUTE(SUBSTITUTE(SUBSTITUTE(A20,"~","~~"),"*","~*"),"?","~?"))))</x:f>
      </x:c>
      <x:c r="N20" s="11" t="str">
        <x:f>IF(A20="","",IF(INDEX(QueryData[Capture status],MATCH(SUBSTITUTE(SUBSTITUTE(SUBSTITUTE(A20,"~","~~"),"*","~*"),"?","~?"),QueryData[Query ID],0))&lt;&gt;"Ready","",SUMIFS(RecordData[Seed B],RecordData[Query ID],"="&amp;SUBSTITUTE(SUBSTITUTE(SUBSTITUTE(A20,"~","~~"),"*","~*"),"?","~?"))))</x:f>
      </x:c>
      <x:c r="O20" s="18" t="str">
        <x:f>IF(A20="","",IF(INDEX(QueryData[Capture status],MATCH(SUBSTITUTE(SUBSTITUTE(SUBSTITUTE(A20,"~","~~"),"*","~*"),"?","~?"),QueryData[Query ID],0))&lt;&gt;"Ready","",IF(L20=0,"No seeds specified",M20/L20)))</x:f>
      </x:c>
      <x:c r="P20" s="18" t="str">
        <x:f>IF(A20="","",IF(INDEX(QueryData[Capture status],MATCH(SUBSTITUTE(SUBSTITUTE(SUBSTITUTE(A20,"~","~~"),"*","~*"),"?","~?"),QueryData[Query ID],0))&lt;&gt;"Ready","",IF(L20=0,"No seeds specified",N20/L20)))</x:f>
      </x:c>
      <x:c r="Q20" s="18" t="str">
        <x:f>IF(A20="","",IF(OR(INDEX(QueryData[Capture status],MATCH(SUBSTITUTE(SUBSTITUTE(SUBSTITUTE(A20,"~","~~"),"*","~*"),"?","~?"),QueryData[Query ID],0))&lt;&gt;"Ready",L20=0),"",P20-O20))</x:f>
      </x:c>
    </x:row>
    <x:row r="21" ht="48" customHeight="1">
      <x:c r="A21" s="11" t="str">
        <x:f>IF(Queries!A21="","",Queries!A21)</x:f>
      </x:c>
      <x:c r="B21" s="13" t="str">
        <x:f>IF(A21="","",INDEX(QueryData[Probe],MATCH(SUBSTITUTE(SUBSTITUTE(SUBSTITUTE(A21,"~","~~"),"*","~*"),"?","~?"),QueryData[Query ID],0)))</x:f>
      </x:c>
      <x:c r="C21" s="13" t="str">
        <x:f>IF(A21="","",IF(INDEX(QueryData[Capture status],MATCH(SUBSTITUTE(SUBSTITUTE(SUBSTITUTE(A21,"~","~~"),"*","~*"),"?","~?"),QueryData[Query ID],0))&lt;&gt;"Ready",INDEX(QueryData[Capture status],MATCH(SUBSTITUTE(SUBSTITUTE(SUBSTITUTE(A21,"~","~~"),"*","~*"),"?","~?"),QueryData[Query ID],0)),IF(INDEX(QueryData[Judgement status],MATCH(SUBSTITUTE(SUBSTITUTE(SUBSTITUTE(A21,"~","~~"),"*","~*"),"?","~?"),QueryData[Query ID],0))&lt;&gt;"Judged",INDEX(QueryData[Judgement status],MATCH(SUBSTITUTE(SUBSTITUTE(SUBSTITUTE(A21,"~","~~"),"*","~*"),"?","~?"),QueryData[Query ID],0)),"Ready")))</x:f>
      </x:c>
      <x:c r="D21" s="11" t="str">
        <x:f>IF(A21="","",SUMIFS(RecordData[In A at k],RecordData[Query ID],"="&amp;SUBSTITUTE(SUBSTITUTE(SUBSTITUTE(A21,"~","~~"),"*","~*"),"?","~?")))</x:f>
      </x:c>
      <x:c r="E21" s="11" t="str">
        <x:f>IF(A21="","",SUMIFS(RecordData[In B at k],RecordData[Query ID],"="&amp;SUBSTITUTE(SUBSTITUTE(SUBSTITUTE(A21,"~","~~"),"*","~*"),"?","~?")))</x:f>
      </x:c>
      <x:c r="F21" s="11" t="str">
        <x:f>IF(C21&lt;&gt;"Ready","",SUMIFS(RecordData[Relevant A],RecordData[Query ID],"="&amp;SUBSTITUTE(SUBSTITUTE(SUBSTITUTE(A21,"~","~~"),"*","~*"),"?","~?")))</x:f>
      </x:c>
      <x:c r="G21" s="11" t="str">
        <x:f>IF(C21&lt;&gt;"Ready","",SUMIFS(RecordData[Relevant B],RecordData[Query ID],"="&amp;SUBSTITUTE(SUBSTITUTE(SUBSTITUTE(A21,"~","~~"),"*","~*"),"?","~?")))</x:f>
      </x:c>
      <x:c r="H21" s="11" t="str">
        <x:f>IF(A21="","",$B$4)</x:f>
      </x:c>
      <x:c r="I21" s="18" t="str">
        <x:f>IF(C21&lt;&gt;"Ready","",F21/H21)</x:f>
      </x:c>
      <x:c r="J21" s="18" t="str">
        <x:f>IF(C21&lt;&gt;"Ready","",G21/H21)</x:f>
      </x:c>
      <x:c r="K21" s="18" t="str">
        <x:f>IF(C21&lt;&gt;"Ready","",J21-I21)</x:f>
      </x:c>
      <x:c r="L21" s="11" t="str">
        <x:f>IF(A21="","",SUMIFS(RecordData[Seed total],RecordData[Query ID],"="&amp;SUBSTITUTE(SUBSTITUTE(SUBSTITUTE(A21,"~","~~"),"*","~*"),"?","~?")))</x:f>
      </x:c>
      <x:c r="M21" s="11" t="str">
        <x:f>IF(A21="","",IF(INDEX(QueryData[Capture status],MATCH(SUBSTITUTE(SUBSTITUTE(SUBSTITUTE(A21,"~","~~"),"*","~*"),"?","~?"),QueryData[Query ID],0))&lt;&gt;"Ready","",SUMIFS(RecordData[Seed A],RecordData[Query ID],"="&amp;SUBSTITUTE(SUBSTITUTE(SUBSTITUTE(A21,"~","~~"),"*","~*"),"?","~?"))))</x:f>
      </x:c>
      <x:c r="N21" s="11" t="str">
        <x:f>IF(A21="","",IF(INDEX(QueryData[Capture status],MATCH(SUBSTITUTE(SUBSTITUTE(SUBSTITUTE(A21,"~","~~"),"*","~*"),"?","~?"),QueryData[Query ID],0))&lt;&gt;"Ready","",SUMIFS(RecordData[Seed B],RecordData[Query ID],"="&amp;SUBSTITUTE(SUBSTITUTE(SUBSTITUTE(A21,"~","~~"),"*","~*"),"?","~?"))))</x:f>
      </x:c>
      <x:c r="O21" s="18" t="str">
        <x:f>IF(A21="","",IF(INDEX(QueryData[Capture status],MATCH(SUBSTITUTE(SUBSTITUTE(SUBSTITUTE(A21,"~","~~"),"*","~*"),"?","~?"),QueryData[Query ID],0))&lt;&gt;"Ready","",IF(L21=0,"No seeds specified",M21/L21)))</x:f>
      </x:c>
      <x:c r="P21" s="18" t="str">
        <x:f>IF(A21="","",IF(INDEX(QueryData[Capture status],MATCH(SUBSTITUTE(SUBSTITUTE(SUBSTITUTE(A21,"~","~~"),"*","~*"),"?","~?"),QueryData[Query ID],0))&lt;&gt;"Ready","",IF(L21=0,"No seeds specified",N21/L21)))</x:f>
      </x:c>
      <x:c r="Q21" s="18" t="str">
        <x:f>IF(A21="","",IF(OR(INDEX(QueryData[Capture status],MATCH(SUBSTITUTE(SUBSTITUTE(SUBSTITUTE(A21,"~","~~"),"*","~*"),"?","~?"),QueryData[Query ID],0))&lt;&gt;"Ready",L21=0),"",P21-O21))</x:f>
      </x:c>
    </x:row>
    <x:row r="22" ht="48" customHeight="1">
      <x:c r="A22" s="11" t="str">
        <x:f>IF(Queries!A22="","",Queries!A22)</x:f>
      </x:c>
      <x:c r="B22" s="13" t="str">
        <x:f>IF(A22="","",INDEX(QueryData[Probe],MATCH(SUBSTITUTE(SUBSTITUTE(SUBSTITUTE(A22,"~","~~"),"*","~*"),"?","~?"),QueryData[Query ID],0)))</x:f>
      </x:c>
      <x:c r="C22" s="13" t="str">
        <x:f>IF(A22="","",IF(INDEX(QueryData[Capture status],MATCH(SUBSTITUTE(SUBSTITUTE(SUBSTITUTE(A22,"~","~~"),"*","~*"),"?","~?"),QueryData[Query ID],0))&lt;&gt;"Ready",INDEX(QueryData[Capture status],MATCH(SUBSTITUTE(SUBSTITUTE(SUBSTITUTE(A22,"~","~~"),"*","~*"),"?","~?"),QueryData[Query ID],0)),IF(INDEX(QueryData[Judgement status],MATCH(SUBSTITUTE(SUBSTITUTE(SUBSTITUTE(A22,"~","~~"),"*","~*"),"?","~?"),QueryData[Query ID],0))&lt;&gt;"Judged",INDEX(QueryData[Judgement status],MATCH(SUBSTITUTE(SUBSTITUTE(SUBSTITUTE(A22,"~","~~"),"*","~*"),"?","~?"),QueryData[Query ID],0)),"Ready")))</x:f>
      </x:c>
      <x:c r="D22" s="11" t="str">
        <x:f>IF(A22="","",SUMIFS(RecordData[In A at k],RecordData[Query ID],"="&amp;SUBSTITUTE(SUBSTITUTE(SUBSTITUTE(A22,"~","~~"),"*","~*"),"?","~?")))</x:f>
      </x:c>
      <x:c r="E22" s="11" t="str">
        <x:f>IF(A22="","",SUMIFS(RecordData[In B at k],RecordData[Query ID],"="&amp;SUBSTITUTE(SUBSTITUTE(SUBSTITUTE(A22,"~","~~"),"*","~*"),"?","~?")))</x:f>
      </x:c>
      <x:c r="F22" s="11" t="str">
        <x:f>IF(C22&lt;&gt;"Ready","",SUMIFS(RecordData[Relevant A],RecordData[Query ID],"="&amp;SUBSTITUTE(SUBSTITUTE(SUBSTITUTE(A22,"~","~~"),"*","~*"),"?","~?")))</x:f>
      </x:c>
      <x:c r="G22" s="11" t="str">
        <x:f>IF(C22&lt;&gt;"Ready","",SUMIFS(RecordData[Relevant B],RecordData[Query ID],"="&amp;SUBSTITUTE(SUBSTITUTE(SUBSTITUTE(A22,"~","~~"),"*","~*"),"?","~?")))</x:f>
      </x:c>
      <x:c r="H22" s="11" t="str">
        <x:f>IF(A22="","",$B$4)</x:f>
      </x:c>
      <x:c r="I22" s="18" t="str">
        <x:f>IF(C22&lt;&gt;"Ready","",F22/H22)</x:f>
      </x:c>
      <x:c r="J22" s="18" t="str">
        <x:f>IF(C22&lt;&gt;"Ready","",G22/H22)</x:f>
      </x:c>
      <x:c r="K22" s="18" t="str">
        <x:f>IF(C22&lt;&gt;"Ready","",J22-I22)</x:f>
      </x:c>
      <x:c r="L22" s="11" t="str">
        <x:f>IF(A22="","",SUMIFS(RecordData[Seed total],RecordData[Query ID],"="&amp;SUBSTITUTE(SUBSTITUTE(SUBSTITUTE(A22,"~","~~"),"*","~*"),"?","~?")))</x:f>
      </x:c>
      <x:c r="M22" s="11" t="str">
        <x:f>IF(A22="","",IF(INDEX(QueryData[Capture status],MATCH(SUBSTITUTE(SUBSTITUTE(SUBSTITUTE(A22,"~","~~"),"*","~*"),"?","~?"),QueryData[Query ID],0))&lt;&gt;"Ready","",SUMIFS(RecordData[Seed A],RecordData[Query ID],"="&amp;SUBSTITUTE(SUBSTITUTE(SUBSTITUTE(A22,"~","~~"),"*","~*"),"?","~?"))))</x:f>
      </x:c>
      <x:c r="N22" s="11" t="str">
        <x:f>IF(A22="","",IF(INDEX(QueryData[Capture status],MATCH(SUBSTITUTE(SUBSTITUTE(SUBSTITUTE(A22,"~","~~"),"*","~*"),"?","~?"),QueryData[Query ID],0))&lt;&gt;"Ready","",SUMIFS(RecordData[Seed B],RecordData[Query ID],"="&amp;SUBSTITUTE(SUBSTITUTE(SUBSTITUTE(A22,"~","~~"),"*","~*"),"?","~?"))))</x:f>
      </x:c>
      <x:c r="O22" s="18" t="str">
        <x:f>IF(A22="","",IF(INDEX(QueryData[Capture status],MATCH(SUBSTITUTE(SUBSTITUTE(SUBSTITUTE(A22,"~","~~"),"*","~*"),"?","~?"),QueryData[Query ID],0))&lt;&gt;"Ready","",IF(L22=0,"No seeds specified",M22/L22)))</x:f>
      </x:c>
      <x:c r="P22" s="18" t="str">
        <x:f>IF(A22="","",IF(INDEX(QueryData[Capture status],MATCH(SUBSTITUTE(SUBSTITUTE(SUBSTITUTE(A22,"~","~~"),"*","~*"),"?","~?"),QueryData[Query ID],0))&lt;&gt;"Ready","",IF(L22=0,"No seeds specified",N22/L22)))</x:f>
      </x:c>
      <x:c r="Q22" s="18" t="str">
        <x:f>IF(A22="","",IF(OR(INDEX(QueryData[Capture status],MATCH(SUBSTITUTE(SUBSTITUTE(SUBSTITUTE(A22,"~","~~"),"*","~*"),"?","~?"),QueryData[Query ID],0))&lt;&gt;"Ready",L22=0),"",P22-O22))</x:f>
      </x:c>
    </x:row>
    <x:row r="23" ht="48" customHeight="1">
      <x:c r="A23" s="11" t="str">
        <x:f>IF(Queries!A23="","",Queries!A23)</x:f>
      </x:c>
      <x:c r="B23" s="13" t="str">
        <x:f>IF(A23="","",INDEX(QueryData[Probe],MATCH(SUBSTITUTE(SUBSTITUTE(SUBSTITUTE(A23,"~","~~"),"*","~*"),"?","~?"),QueryData[Query ID],0)))</x:f>
      </x:c>
      <x:c r="C23" s="13" t="str">
        <x:f>IF(A23="","",IF(INDEX(QueryData[Capture status],MATCH(SUBSTITUTE(SUBSTITUTE(SUBSTITUTE(A23,"~","~~"),"*","~*"),"?","~?"),QueryData[Query ID],0))&lt;&gt;"Ready",INDEX(QueryData[Capture status],MATCH(SUBSTITUTE(SUBSTITUTE(SUBSTITUTE(A23,"~","~~"),"*","~*"),"?","~?"),QueryData[Query ID],0)),IF(INDEX(QueryData[Judgement status],MATCH(SUBSTITUTE(SUBSTITUTE(SUBSTITUTE(A23,"~","~~"),"*","~*"),"?","~?"),QueryData[Query ID],0))&lt;&gt;"Judged",INDEX(QueryData[Judgement status],MATCH(SUBSTITUTE(SUBSTITUTE(SUBSTITUTE(A23,"~","~~"),"*","~*"),"?","~?"),QueryData[Query ID],0)),"Ready")))</x:f>
      </x:c>
      <x:c r="D23" s="11" t="str">
        <x:f>IF(A23="","",SUMIFS(RecordData[In A at k],RecordData[Query ID],"="&amp;SUBSTITUTE(SUBSTITUTE(SUBSTITUTE(A23,"~","~~"),"*","~*"),"?","~?")))</x:f>
      </x:c>
      <x:c r="E23" s="11" t="str">
        <x:f>IF(A23="","",SUMIFS(RecordData[In B at k],RecordData[Query ID],"="&amp;SUBSTITUTE(SUBSTITUTE(SUBSTITUTE(A23,"~","~~"),"*","~*"),"?","~?")))</x:f>
      </x:c>
      <x:c r="F23" s="11" t="str">
        <x:f>IF(C23&lt;&gt;"Ready","",SUMIFS(RecordData[Relevant A],RecordData[Query ID],"="&amp;SUBSTITUTE(SUBSTITUTE(SUBSTITUTE(A23,"~","~~"),"*","~*"),"?","~?")))</x:f>
      </x:c>
      <x:c r="G23" s="11" t="str">
        <x:f>IF(C23&lt;&gt;"Ready","",SUMIFS(RecordData[Relevant B],RecordData[Query ID],"="&amp;SUBSTITUTE(SUBSTITUTE(SUBSTITUTE(A23,"~","~~"),"*","~*"),"?","~?")))</x:f>
      </x:c>
      <x:c r="H23" s="11" t="str">
        <x:f>IF(A23="","",$B$4)</x:f>
      </x:c>
      <x:c r="I23" s="18" t="str">
        <x:f>IF(C23&lt;&gt;"Ready","",F23/H23)</x:f>
      </x:c>
      <x:c r="J23" s="18" t="str">
        <x:f>IF(C23&lt;&gt;"Ready","",G23/H23)</x:f>
      </x:c>
      <x:c r="K23" s="18" t="str">
        <x:f>IF(C23&lt;&gt;"Ready","",J23-I23)</x:f>
      </x:c>
      <x:c r="L23" s="11" t="str">
        <x:f>IF(A23="","",SUMIFS(RecordData[Seed total],RecordData[Query ID],"="&amp;SUBSTITUTE(SUBSTITUTE(SUBSTITUTE(A23,"~","~~"),"*","~*"),"?","~?")))</x:f>
      </x:c>
      <x:c r="M23" s="11" t="str">
        <x:f>IF(A23="","",IF(INDEX(QueryData[Capture status],MATCH(SUBSTITUTE(SUBSTITUTE(SUBSTITUTE(A23,"~","~~"),"*","~*"),"?","~?"),QueryData[Query ID],0))&lt;&gt;"Ready","",SUMIFS(RecordData[Seed A],RecordData[Query ID],"="&amp;SUBSTITUTE(SUBSTITUTE(SUBSTITUTE(A23,"~","~~"),"*","~*"),"?","~?"))))</x:f>
      </x:c>
      <x:c r="N23" s="11" t="str">
        <x:f>IF(A23="","",IF(INDEX(QueryData[Capture status],MATCH(SUBSTITUTE(SUBSTITUTE(SUBSTITUTE(A23,"~","~~"),"*","~*"),"?","~?"),QueryData[Query ID],0))&lt;&gt;"Ready","",SUMIFS(RecordData[Seed B],RecordData[Query ID],"="&amp;SUBSTITUTE(SUBSTITUTE(SUBSTITUTE(A23,"~","~~"),"*","~*"),"?","~?"))))</x:f>
      </x:c>
      <x:c r="O23" s="18" t="str">
        <x:f>IF(A23="","",IF(INDEX(QueryData[Capture status],MATCH(SUBSTITUTE(SUBSTITUTE(SUBSTITUTE(A23,"~","~~"),"*","~*"),"?","~?"),QueryData[Query ID],0))&lt;&gt;"Ready","",IF(L23=0,"No seeds specified",M23/L23)))</x:f>
      </x:c>
      <x:c r="P23" s="18" t="str">
        <x:f>IF(A23="","",IF(INDEX(QueryData[Capture status],MATCH(SUBSTITUTE(SUBSTITUTE(SUBSTITUTE(A23,"~","~~"),"*","~*"),"?","~?"),QueryData[Query ID],0))&lt;&gt;"Ready","",IF(L23=0,"No seeds specified",N23/L23)))</x:f>
      </x:c>
      <x:c r="Q23" s="18" t="str">
        <x:f>IF(A23="","",IF(OR(INDEX(QueryData[Capture status],MATCH(SUBSTITUTE(SUBSTITUTE(SUBSTITUTE(A23,"~","~~"),"*","~*"),"?","~?"),QueryData[Query ID],0))&lt;&gt;"Ready",L23=0),"",P23-O23))</x:f>
      </x:c>
    </x:row>
    <x:row r="24" ht="48" customHeight="1">
      <x:c r="A24" s="11" t="str">
        <x:f>IF(Queries!A24="","",Queries!A24)</x:f>
      </x:c>
      <x:c r="B24" s="13" t="str">
        <x:f>IF(A24="","",INDEX(QueryData[Probe],MATCH(SUBSTITUTE(SUBSTITUTE(SUBSTITUTE(A24,"~","~~"),"*","~*"),"?","~?"),QueryData[Query ID],0)))</x:f>
      </x:c>
      <x:c r="C24" s="13" t="str">
        <x:f>IF(A24="","",IF(INDEX(QueryData[Capture status],MATCH(SUBSTITUTE(SUBSTITUTE(SUBSTITUTE(A24,"~","~~"),"*","~*"),"?","~?"),QueryData[Query ID],0))&lt;&gt;"Ready",INDEX(QueryData[Capture status],MATCH(SUBSTITUTE(SUBSTITUTE(SUBSTITUTE(A24,"~","~~"),"*","~*"),"?","~?"),QueryData[Query ID],0)),IF(INDEX(QueryData[Judgement status],MATCH(SUBSTITUTE(SUBSTITUTE(SUBSTITUTE(A24,"~","~~"),"*","~*"),"?","~?"),QueryData[Query ID],0))&lt;&gt;"Judged",INDEX(QueryData[Judgement status],MATCH(SUBSTITUTE(SUBSTITUTE(SUBSTITUTE(A24,"~","~~"),"*","~*"),"?","~?"),QueryData[Query ID],0)),"Ready")))</x:f>
      </x:c>
      <x:c r="D24" s="11" t="str">
        <x:f>IF(A24="","",SUMIFS(RecordData[In A at k],RecordData[Query ID],"="&amp;SUBSTITUTE(SUBSTITUTE(SUBSTITUTE(A24,"~","~~"),"*","~*"),"?","~?")))</x:f>
      </x:c>
      <x:c r="E24" s="11" t="str">
        <x:f>IF(A24="","",SUMIFS(RecordData[In B at k],RecordData[Query ID],"="&amp;SUBSTITUTE(SUBSTITUTE(SUBSTITUTE(A24,"~","~~"),"*","~*"),"?","~?")))</x:f>
      </x:c>
      <x:c r="F24" s="11" t="str">
        <x:f>IF(C24&lt;&gt;"Ready","",SUMIFS(RecordData[Relevant A],RecordData[Query ID],"="&amp;SUBSTITUTE(SUBSTITUTE(SUBSTITUTE(A24,"~","~~"),"*","~*"),"?","~?")))</x:f>
      </x:c>
      <x:c r="G24" s="11" t="str">
        <x:f>IF(C24&lt;&gt;"Ready","",SUMIFS(RecordData[Relevant B],RecordData[Query ID],"="&amp;SUBSTITUTE(SUBSTITUTE(SUBSTITUTE(A24,"~","~~"),"*","~*"),"?","~?")))</x:f>
      </x:c>
      <x:c r="H24" s="11" t="str">
        <x:f>IF(A24="","",$B$4)</x:f>
      </x:c>
      <x:c r="I24" s="18" t="str">
        <x:f>IF(C24&lt;&gt;"Ready","",F24/H24)</x:f>
      </x:c>
      <x:c r="J24" s="18" t="str">
        <x:f>IF(C24&lt;&gt;"Ready","",G24/H24)</x:f>
      </x:c>
      <x:c r="K24" s="18" t="str">
        <x:f>IF(C24&lt;&gt;"Ready","",J24-I24)</x:f>
      </x:c>
      <x:c r="L24" s="11" t="str">
        <x:f>IF(A24="","",SUMIFS(RecordData[Seed total],RecordData[Query ID],"="&amp;SUBSTITUTE(SUBSTITUTE(SUBSTITUTE(A24,"~","~~"),"*","~*"),"?","~?")))</x:f>
      </x:c>
      <x:c r="M24" s="11" t="str">
        <x:f>IF(A24="","",IF(INDEX(QueryData[Capture status],MATCH(SUBSTITUTE(SUBSTITUTE(SUBSTITUTE(A24,"~","~~"),"*","~*"),"?","~?"),QueryData[Query ID],0))&lt;&gt;"Ready","",SUMIFS(RecordData[Seed A],RecordData[Query ID],"="&amp;SUBSTITUTE(SUBSTITUTE(SUBSTITUTE(A24,"~","~~"),"*","~*"),"?","~?"))))</x:f>
      </x:c>
      <x:c r="N24" s="11" t="str">
        <x:f>IF(A24="","",IF(INDEX(QueryData[Capture status],MATCH(SUBSTITUTE(SUBSTITUTE(SUBSTITUTE(A24,"~","~~"),"*","~*"),"?","~?"),QueryData[Query ID],0))&lt;&gt;"Ready","",SUMIFS(RecordData[Seed B],RecordData[Query ID],"="&amp;SUBSTITUTE(SUBSTITUTE(SUBSTITUTE(A24,"~","~~"),"*","~*"),"?","~?"))))</x:f>
      </x:c>
      <x:c r="O24" s="18" t="str">
        <x:f>IF(A24="","",IF(INDEX(QueryData[Capture status],MATCH(SUBSTITUTE(SUBSTITUTE(SUBSTITUTE(A24,"~","~~"),"*","~*"),"?","~?"),QueryData[Query ID],0))&lt;&gt;"Ready","",IF(L24=0,"No seeds specified",M24/L24)))</x:f>
      </x:c>
      <x:c r="P24" s="18" t="str">
        <x:f>IF(A24="","",IF(INDEX(QueryData[Capture status],MATCH(SUBSTITUTE(SUBSTITUTE(SUBSTITUTE(A24,"~","~~"),"*","~*"),"?","~?"),QueryData[Query ID],0))&lt;&gt;"Ready","",IF(L24=0,"No seeds specified",N24/L24)))</x:f>
      </x:c>
      <x:c r="Q24" s="18" t="str">
        <x:f>IF(A24="","",IF(OR(INDEX(QueryData[Capture status],MATCH(SUBSTITUTE(SUBSTITUTE(SUBSTITUTE(A24,"~","~~"),"*","~*"),"?","~?"),QueryData[Query ID],0))&lt;&gt;"Ready",L24=0),"",P24-O24))</x:f>
      </x:c>
    </x:row>
    <x:row r="25" ht="48" customHeight="1">
      <x:c r="A25" s="11" t="str">
        <x:f>IF(Queries!A25="","",Queries!A25)</x:f>
      </x:c>
      <x:c r="B25" s="13" t="str">
        <x:f>IF(A25="","",INDEX(QueryData[Probe],MATCH(SUBSTITUTE(SUBSTITUTE(SUBSTITUTE(A25,"~","~~"),"*","~*"),"?","~?"),QueryData[Query ID],0)))</x:f>
      </x:c>
      <x:c r="C25" s="13" t="str">
        <x:f>IF(A25="","",IF(INDEX(QueryData[Capture status],MATCH(SUBSTITUTE(SUBSTITUTE(SUBSTITUTE(A25,"~","~~"),"*","~*"),"?","~?"),QueryData[Query ID],0))&lt;&gt;"Ready",INDEX(QueryData[Capture status],MATCH(SUBSTITUTE(SUBSTITUTE(SUBSTITUTE(A25,"~","~~"),"*","~*"),"?","~?"),QueryData[Query ID],0)),IF(INDEX(QueryData[Judgement status],MATCH(SUBSTITUTE(SUBSTITUTE(SUBSTITUTE(A25,"~","~~"),"*","~*"),"?","~?"),QueryData[Query ID],0))&lt;&gt;"Judged",INDEX(QueryData[Judgement status],MATCH(SUBSTITUTE(SUBSTITUTE(SUBSTITUTE(A25,"~","~~"),"*","~*"),"?","~?"),QueryData[Query ID],0)),"Ready")))</x:f>
      </x:c>
      <x:c r="D25" s="11" t="str">
        <x:f>IF(A25="","",SUMIFS(RecordData[In A at k],RecordData[Query ID],"="&amp;SUBSTITUTE(SUBSTITUTE(SUBSTITUTE(A25,"~","~~"),"*","~*"),"?","~?")))</x:f>
      </x:c>
      <x:c r="E25" s="11" t="str">
        <x:f>IF(A25="","",SUMIFS(RecordData[In B at k],RecordData[Query ID],"="&amp;SUBSTITUTE(SUBSTITUTE(SUBSTITUTE(A25,"~","~~"),"*","~*"),"?","~?")))</x:f>
      </x:c>
      <x:c r="F25" s="11" t="str">
        <x:f>IF(C25&lt;&gt;"Ready","",SUMIFS(RecordData[Relevant A],RecordData[Query ID],"="&amp;SUBSTITUTE(SUBSTITUTE(SUBSTITUTE(A25,"~","~~"),"*","~*"),"?","~?")))</x:f>
      </x:c>
      <x:c r="G25" s="11" t="str">
        <x:f>IF(C25&lt;&gt;"Ready","",SUMIFS(RecordData[Relevant B],RecordData[Query ID],"="&amp;SUBSTITUTE(SUBSTITUTE(SUBSTITUTE(A25,"~","~~"),"*","~*"),"?","~?")))</x:f>
      </x:c>
      <x:c r="H25" s="11" t="str">
        <x:f>IF(A25="","",$B$4)</x:f>
      </x:c>
      <x:c r="I25" s="18" t="str">
        <x:f>IF(C25&lt;&gt;"Ready","",F25/H25)</x:f>
      </x:c>
      <x:c r="J25" s="18" t="str">
        <x:f>IF(C25&lt;&gt;"Ready","",G25/H25)</x:f>
      </x:c>
      <x:c r="K25" s="18" t="str">
        <x:f>IF(C25&lt;&gt;"Ready","",J25-I25)</x:f>
      </x:c>
      <x:c r="L25" s="11" t="str">
        <x:f>IF(A25="","",SUMIFS(RecordData[Seed total],RecordData[Query ID],"="&amp;SUBSTITUTE(SUBSTITUTE(SUBSTITUTE(A25,"~","~~"),"*","~*"),"?","~?")))</x:f>
      </x:c>
      <x:c r="M25" s="11" t="str">
        <x:f>IF(A25="","",IF(INDEX(QueryData[Capture status],MATCH(SUBSTITUTE(SUBSTITUTE(SUBSTITUTE(A25,"~","~~"),"*","~*"),"?","~?"),QueryData[Query ID],0))&lt;&gt;"Ready","",SUMIFS(RecordData[Seed A],RecordData[Query ID],"="&amp;SUBSTITUTE(SUBSTITUTE(SUBSTITUTE(A25,"~","~~"),"*","~*"),"?","~?"))))</x:f>
      </x:c>
      <x:c r="N25" s="11" t="str">
        <x:f>IF(A25="","",IF(INDEX(QueryData[Capture status],MATCH(SUBSTITUTE(SUBSTITUTE(SUBSTITUTE(A25,"~","~~"),"*","~*"),"?","~?"),QueryData[Query ID],0))&lt;&gt;"Ready","",SUMIFS(RecordData[Seed B],RecordData[Query ID],"="&amp;SUBSTITUTE(SUBSTITUTE(SUBSTITUTE(A25,"~","~~"),"*","~*"),"?","~?"))))</x:f>
      </x:c>
      <x:c r="O25" s="18" t="str">
        <x:f>IF(A25="","",IF(INDEX(QueryData[Capture status],MATCH(SUBSTITUTE(SUBSTITUTE(SUBSTITUTE(A25,"~","~~"),"*","~*"),"?","~?"),QueryData[Query ID],0))&lt;&gt;"Ready","",IF(L25=0,"No seeds specified",M25/L25)))</x:f>
      </x:c>
      <x:c r="P25" s="18" t="str">
        <x:f>IF(A25="","",IF(INDEX(QueryData[Capture status],MATCH(SUBSTITUTE(SUBSTITUTE(SUBSTITUTE(A25,"~","~~"),"*","~*"),"?","~?"),QueryData[Query ID],0))&lt;&gt;"Ready","",IF(L25=0,"No seeds specified",N25/L25)))</x:f>
      </x:c>
      <x:c r="Q25" s="18" t="str">
        <x:f>IF(A25="","",IF(OR(INDEX(QueryData[Capture status],MATCH(SUBSTITUTE(SUBSTITUTE(SUBSTITUTE(A25,"~","~~"),"*","~*"),"?","~?"),QueryData[Query ID],0))&lt;&gt;"Ready",L25=0),"",P25-O25))</x:f>
      </x:c>
    </x:row>
    <x:row r="26" ht="48" customHeight="1">
      <x:c r="A26" s="11" t="str">
        <x:f>IF(Queries!A26="","",Queries!A26)</x:f>
      </x:c>
      <x:c r="B26" s="13" t="str">
        <x:f>IF(A26="","",INDEX(QueryData[Probe],MATCH(SUBSTITUTE(SUBSTITUTE(SUBSTITUTE(A26,"~","~~"),"*","~*"),"?","~?"),QueryData[Query ID],0)))</x:f>
      </x:c>
      <x:c r="C26" s="13" t="str">
        <x:f>IF(A26="","",IF(INDEX(QueryData[Capture status],MATCH(SUBSTITUTE(SUBSTITUTE(SUBSTITUTE(A26,"~","~~"),"*","~*"),"?","~?"),QueryData[Query ID],0))&lt;&gt;"Ready",INDEX(QueryData[Capture status],MATCH(SUBSTITUTE(SUBSTITUTE(SUBSTITUTE(A26,"~","~~"),"*","~*"),"?","~?"),QueryData[Query ID],0)),IF(INDEX(QueryData[Judgement status],MATCH(SUBSTITUTE(SUBSTITUTE(SUBSTITUTE(A26,"~","~~"),"*","~*"),"?","~?"),QueryData[Query ID],0))&lt;&gt;"Judged",INDEX(QueryData[Judgement status],MATCH(SUBSTITUTE(SUBSTITUTE(SUBSTITUTE(A26,"~","~~"),"*","~*"),"?","~?"),QueryData[Query ID],0)),"Ready")))</x:f>
      </x:c>
      <x:c r="D26" s="11" t="str">
        <x:f>IF(A26="","",SUMIFS(RecordData[In A at k],RecordData[Query ID],"="&amp;SUBSTITUTE(SUBSTITUTE(SUBSTITUTE(A26,"~","~~"),"*","~*"),"?","~?")))</x:f>
      </x:c>
      <x:c r="E26" s="11" t="str">
        <x:f>IF(A26="","",SUMIFS(RecordData[In B at k],RecordData[Query ID],"="&amp;SUBSTITUTE(SUBSTITUTE(SUBSTITUTE(A26,"~","~~"),"*","~*"),"?","~?")))</x:f>
      </x:c>
      <x:c r="F26" s="11" t="str">
        <x:f>IF(C26&lt;&gt;"Ready","",SUMIFS(RecordData[Relevant A],RecordData[Query ID],"="&amp;SUBSTITUTE(SUBSTITUTE(SUBSTITUTE(A26,"~","~~"),"*","~*"),"?","~?")))</x:f>
      </x:c>
      <x:c r="G26" s="11" t="str">
        <x:f>IF(C26&lt;&gt;"Ready","",SUMIFS(RecordData[Relevant B],RecordData[Query ID],"="&amp;SUBSTITUTE(SUBSTITUTE(SUBSTITUTE(A26,"~","~~"),"*","~*"),"?","~?")))</x:f>
      </x:c>
      <x:c r="H26" s="11" t="str">
        <x:f>IF(A26="","",$B$4)</x:f>
      </x:c>
      <x:c r="I26" s="18" t="str">
        <x:f>IF(C26&lt;&gt;"Ready","",F26/H26)</x:f>
      </x:c>
      <x:c r="J26" s="18" t="str">
        <x:f>IF(C26&lt;&gt;"Ready","",G26/H26)</x:f>
      </x:c>
      <x:c r="K26" s="18" t="str">
        <x:f>IF(C26&lt;&gt;"Ready","",J26-I26)</x:f>
      </x:c>
      <x:c r="L26" s="11" t="str">
        <x:f>IF(A26="","",SUMIFS(RecordData[Seed total],RecordData[Query ID],"="&amp;SUBSTITUTE(SUBSTITUTE(SUBSTITUTE(A26,"~","~~"),"*","~*"),"?","~?")))</x:f>
      </x:c>
      <x:c r="M26" s="11" t="str">
        <x:f>IF(A26="","",IF(INDEX(QueryData[Capture status],MATCH(SUBSTITUTE(SUBSTITUTE(SUBSTITUTE(A26,"~","~~"),"*","~*"),"?","~?"),QueryData[Query ID],0))&lt;&gt;"Ready","",SUMIFS(RecordData[Seed A],RecordData[Query ID],"="&amp;SUBSTITUTE(SUBSTITUTE(SUBSTITUTE(A26,"~","~~"),"*","~*"),"?","~?"))))</x:f>
      </x:c>
      <x:c r="N26" s="11" t="str">
        <x:f>IF(A26="","",IF(INDEX(QueryData[Capture status],MATCH(SUBSTITUTE(SUBSTITUTE(SUBSTITUTE(A26,"~","~~"),"*","~*"),"?","~?"),QueryData[Query ID],0))&lt;&gt;"Ready","",SUMIFS(RecordData[Seed B],RecordData[Query ID],"="&amp;SUBSTITUTE(SUBSTITUTE(SUBSTITUTE(A26,"~","~~"),"*","~*"),"?","~?"))))</x:f>
      </x:c>
      <x:c r="O26" s="18" t="str">
        <x:f>IF(A26="","",IF(INDEX(QueryData[Capture status],MATCH(SUBSTITUTE(SUBSTITUTE(SUBSTITUTE(A26,"~","~~"),"*","~*"),"?","~?"),QueryData[Query ID],0))&lt;&gt;"Ready","",IF(L26=0,"No seeds specified",M26/L26)))</x:f>
      </x:c>
      <x:c r="P26" s="18" t="str">
        <x:f>IF(A26="","",IF(INDEX(QueryData[Capture status],MATCH(SUBSTITUTE(SUBSTITUTE(SUBSTITUTE(A26,"~","~~"),"*","~*"),"?","~?"),QueryData[Query ID],0))&lt;&gt;"Ready","",IF(L26=0,"No seeds specified",N26/L26)))</x:f>
      </x:c>
      <x:c r="Q26" s="18" t="str">
        <x:f>IF(A26="","",IF(OR(INDEX(QueryData[Capture status],MATCH(SUBSTITUTE(SUBSTITUTE(SUBSTITUTE(A26,"~","~~"),"*","~*"),"?","~?"),QueryData[Query ID],0))&lt;&gt;"Ready",L26=0),"",P26-O26))</x:f>
      </x:c>
    </x:row>
    <x:row r="27" ht="48" customHeight="1">
      <x:c r="A27" s="11" t="str">
        <x:f>IF(Queries!A27="","",Queries!A27)</x:f>
      </x:c>
      <x:c r="B27" s="13" t="str">
        <x:f>IF(A27="","",INDEX(QueryData[Probe],MATCH(SUBSTITUTE(SUBSTITUTE(SUBSTITUTE(A27,"~","~~"),"*","~*"),"?","~?"),QueryData[Query ID],0)))</x:f>
      </x:c>
      <x:c r="C27" s="13" t="str">
        <x:f>IF(A27="","",IF(INDEX(QueryData[Capture status],MATCH(SUBSTITUTE(SUBSTITUTE(SUBSTITUTE(A27,"~","~~"),"*","~*"),"?","~?"),QueryData[Query ID],0))&lt;&gt;"Ready",INDEX(QueryData[Capture status],MATCH(SUBSTITUTE(SUBSTITUTE(SUBSTITUTE(A27,"~","~~"),"*","~*"),"?","~?"),QueryData[Query ID],0)),IF(INDEX(QueryData[Judgement status],MATCH(SUBSTITUTE(SUBSTITUTE(SUBSTITUTE(A27,"~","~~"),"*","~*"),"?","~?"),QueryData[Query ID],0))&lt;&gt;"Judged",INDEX(QueryData[Judgement status],MATCH(SUBSTITUTE(SUBSTITUTE(SUBSTITUTE(A27,"~","~~"),"*","~*"),"?","~?"),QueryData[Query ID],0)),"Ready")))</x:f>
      </x:c>
      <x:c r="D27" s="11" t="str">
        <x:f>IF(A27="","",SUMIFS(RecordData[In A at k],RecordData[Query ID],"="&amp;SUBSTITUTE(SUBSTITUTE(SUBSTITUTE(A27,"~","~~"),"*","~*"),"?","~?")))</x:f>
      </x:c>
      <x:c r="E27" s="11" t="str">
        <x:f>IF(A27="","",SUMIFS(RecordData[In B at k],RecordData[Query ID],"="&amp;SUBSTITUTE(SUBSTITUTE(SUBSTITUTE(A27,"~","~~"),"*","~*"),"?","~?")))</x:f>
      </x:c>
      <x:c r="F27" s="11" t="str">
        <x:f>IF(C27&lt;&gt;"Ready","",SUMIFS(RecordData[Relevant A],RecordData[Query ID],"="&amp;SUBSTITUTE(SUBSTITUTE(SUBSTITUTE(A27,"~","~~"),"*","~*"),"?","~?")))</x:f>
      </x:c>
      <x:c r="G27" s="11" t="str">
        <x:f>IF(C27&lt;&gt;"Ready","",SUMIFS(RecordData[Relevant B],RecordData[Query ID],"="&amp;SUBSTITUTE(SUBSTITUTE(SUBSTITUTE(A27,"~","~~"),"*","~*"),"?","~?")))</x:f>
      </x:c>
      <x:c r="H27" s="11" t="str">
        <x:f>IF(A27="","",$B$4)</x:f>
      </x:c>
      <x:c r="I27" s="18" t="str">
        <x:f>IF(C27&lt;&gt;"Ready","",F27/H27)</x:f>
      </x:c>
      <x:c r="J27" s="18" t="str">
        <x:f>IF(C27&lt;&gt;"Ready","",G27/H27)</x:f>
      </x:c>
      <x:c r="K27" s="18" t="str">
        <x:f>IF(C27&lt;&gt;"Ready","",J27-I27)</x:f>
      </x:c>
      <x:c r="L27" s="11" t="str">
        <x:f>IF(A27="","",SUMIFS(RecordData[Seed total],RecordData[Query ID],"="&amp;SUBSTITUTE(SUBSTITUTE(SUBSTITUTE(A27,"~","~~"),"*","~*"),"?","~?")))</x:f>
      </x:c>
      <x:c r="M27" s="11" t="str">
        <x:f>IF(A27="","",IF(INDEX(QueryData[Capture status],MATCH(SUBSTITUTE(SUBSTITUTE(SUBSTITUTE(A27,"~","~~"),"*","~*"),"?","~?"),QueryData[Query ID],0))&lt;&gt;"Ready","",SUMIFS(RecordData[Seed A],RecordData[Query ID],"="&amp;SUBSTITUTE(SUBSTITUTE(SUBSTITUTE(A27,"~","~~"),"*","~*"),"?","~?"))))</x:f>
      </x:c>
      <x:c r="N27" s="11" t="str">
        <x:f>IF(A27="","",IF(INDEX(QueryData[Capture status],MATCH(SUBSTITUTE(SUBSTITUTE(SUBSTITUTE(A27,"~","~~"),"*","~*"),"?","~?"),QueryData[Query ID],0))&lt;&gt;"Ready","",SUMIFS(RecordData[Seed B],RecordData[Query ID],"="&amp;SUBSTITUTE(SUBSTITUTE(SUBSTITUTE(A27,"~","~~"),"*","~*"),"?","~?"))))</x:f>
      </x:c>
      <x:c r="O27" s="18" t="str">
        <x:f>IF(A27="","",IF(INDEX(QueryData[Capture status],MATCH(SUBSTITUTE(SUBSTITUTE(SUBSTITUTE(A27,"~","~~"),"*","~*"),"?","~?"),QueryData[Query ID],0))&lt;&gt;"Ready","",IF(L27=0,"No seeds specified",M27/L27)))</x:f>
      </x:c>
      <x:c r="P27" s="18" t="str">
        <x:f>IF(A27="","",IF(INDEX(QueryData[Capture status],MATCH(SUBSTITUTE(SUBSTITUTE(SUBSTITUTE(A27,"~","~~"),"*","~*"),"?","~?"),QueryData[Query ID],0))&lt;&gt;"Ready","",IF(L27=0,"No seeds specified",N27/L27)))</x:f>
      </x:c>
      <x:c r="Q27" s="18" t="str">
        <x:f>IF(A27="","",IF(OR(INDEX(QueryData[Capture status],MATCH(SUBSTITUTE(SUBSTITUTE(SUBSTITUTE(A27,"~","~~"),"*","~*"),"?","~?"),QueryData[Query ID],0))&lt;&gt;"Ready",L27=0),"",P27-O27))</x:f>
      </x:c>
    </x:row>
    <x:row r="28" ht="48" customHeight="1">
      <x:c r="A28" s="11" t="str">
        <x:f>IF(Queries!A28="","",Queries!A28)</x:f>
      </x:c>
      <x:c r="B28" s="13" t="str">
        <x:f>IF(A28="","",INDEX(QueryData[Probe],MATCH(SUBSTITUTE(SUBSTITUTE(SUBSTITUTE(A28,"~","~~"),"*","~*"),"?","~?"),QueryData[Query ID],0)))</x:f>
      </x:c>
      <x:c r="C28" s="13" t="str">
        <x:f>IF(A28="","",IF(INDEX(QueryData[Capture status],MATCH(SUBSTITUTE(SUBSTITUTE(SUBSTITUTE(A28,"~","~~"),"*","~*"),"?","~?"),QueryData[Query ID],0))&lt;&gt;"Ready",INDEX(QueryData[Capture status],MATCH(SUBSTITUTE(SUBSTITUTE(SUBSTITUTE(A28,"~","~~"),"*","~*"),"?","~?"),QueryData[Query ID],0)),IF(INDEX(QueryData[Judgement status],MATCH(SUBSTITUTE(SUBSTITUTE(SUBSTITUTE(A28,"~","~~"),"*","~*"),"?","~?"),QueryData[Query ID],0))&lt;&gt;"Judged",INDEX(QueryData[Judgement status],MATCH(SUBSTITUTE(SUBSTITUTE(SUBSTITUTE(A28,"~","~~"),"*","~*"),"?","~?"),QueryData[Query ID],0)),"Ready")))</x:f>
      </x:c>
      <x:c r="D28" s="11" t="str">
        <x:f>IF(A28="","",SUMIFS(RecordData[In A at k],RecordData[Query ID],"="&amp;SUBSTITUTE(SUBSTITUTE(SUBSTITUTE(A28,"~","~~"),"*","~*"),"?","~?")))</x:f>
      </x:c>
      <x:c r="E28" s="11" t="str">
        <x:f>IF(A28="","",SUMIFS(RecordData[In B at k],RecordData[Query ID],"="&amp;SUBSTITUTE(SUBSTITUTE(SUBSTITUTE(A28,"~","~~"),"*","~*"),"?","~?")))</x:f>
      </x:c>
      <x:c r="F28" s="11" t="str">
        <x:f>IF(C28&lt;&gt;"Ready","",SUMIFS(RecordData[Relevant A],RecordData[Query ID],"="&amp;SUBSTITUTE(SUBSTITUTE(SUBSTITUTE(A28,"~","~~"),"*","~*"),"?","~?")))</x:f>
      </x:c>
      <x:c r="G28" s="11" t="str">
        <x:f>IF(C28&lt;&gt;"Ready","",SUMIFS(RecordData[Relevant B],RecordData[Query ID],"="&amp;SUBSTITUTE(SUBSTITUTE(SUBSTITUTE(A28,"~","~~"),"*","~*"),"?","~?")))</x:f>
      </x:c>
      <x:c r="H28" s="11" t="str">
        <x:f>IF(A28="","",$B$4)</x:f>
      </x:c>
      <x:c r="I28" s="18" t="str">
        <x:f>IF(C28&lt;&gt;"Ready","",F28/H28)</x:f>
      </x:c>
      <x:c r="J28" s="18" t="str">
        <x:f>IF(C28&lt;&gt;"Ready","",G28/H28)</x:f>
      </x:c>
      <x:c r="K28" s="18" t="str">
        <x:f>IF(C28&lt;&gt;"Ready","",J28-I28)</x:f>
      </x:c>
      <x:c r="L28" s="11" t="str">
        <x:f>IF(A28="","",SUMIFS(RecordData[Seed total],RecordData[Query ID],"="&amp;SUBSTITUTE(SUBSTITUTE(SUBSTITUTE(A28,"~","~~"),"*","~*"),"?","~?")))</x:f>
      </x:c>
      <x:c r="M28" s="11" t="str">
        <x:f>IF(A28="","",IF(INDEX(QueryData[Capture status],MATCH(SUBSTITUTE(SUBSTITUTE(SUBSTITUTE(A28,"~","~~"),"*","~*"),"?","~?"),QueryData[Query ID],0))&lt;&gt;"Ready","",SUMIFS(RecordData[Seed A],RecordData[Query ID],"="&amp;SUBSTITUTE(SUBSTITUTE(SUBSTITUTE(A28,"~","~~"),"*","~*"),"?","~?"))))</x:f>
      </x:c>
      <x:c r="N28" s="11" t="str">
        <x:f>IF(A28="","",IF(INDEX(QueryData[Capture status],MATCH(SUBSTITUTE(SUBSTITUTE(SUBSTITUTE(A28,"~","~~"),"*","~*"),"?","~?"),QueryData[Query ID],0))&lt;&gt;"Ready","",SUMIFS(RecordData[Seed B],RecordData[Query ID],"="&amp;SUBSTITUTE(SUBSTITUTE(SUBSTITUTE(A28,"~","~~"),"*","~*"),"?","~?"))))</x:f>
      </x:c>
      <x:c r="O28" s="18" t="str">
        <x:f>IF(A28="","",IF(INDEX(QueryData[Capture status],MATCH(SUBSTITUTE(SUBSTITUTE(SUBSTITUTE(A28,"~","~~"),"*","~*"),"?","~?"),QueryData[Query ID],0))&lt;&gt;"Ready","",IF(L28=0,"No seeds specified",M28/L28)))</x:f>
      </x:c>
      <x:c r="P28" s="18" t="str">
        <x:f>IF(A28="","",IF(INDEX(QueryData[Capture status],MATCH(SUBSTITUTE(SUBSTITUTE(SUBSTITUTE(A28,"~","~~"),"*","~*"),"?","~?"),QueryData[Query ID],0))&lt;&gt;"Ready","",IF(L28=0,"No seeds specified",N28/L28)))</x:f>
      </x:c>
      <x:c r="Q28" s="18" t="str">
        <x:f>IF(A28="","",IF(OR(INDEX(QueryData[Capture status],MATCH(SUBSTITUTE(SUBSTITUTE(SUBSTITUTE(A28,"~","~~"),"*","~*"),"?","~?"),QueryData[Query ID],0))&lt;&gt;"Ready",L28=0),"",P28-O28))</x:f>
      </x:c>
    </x:row>
    <x:row r="29" ht="48" customHeight="1">
      <x:c r="A29" s="11" t="str">
        <x:f>IF(Queries!A29="","",Queries!A29)</x:f>
      </x:c>
      <x:c r="B29" s="13" t="str">
        <x:f>IF(A29="","",INDEX(QueryData[Probe],MATCH(SUBSTITUTE(SUBSTITUTE(SUBSTITUTE(A29,"~","~~"),"*","~*"),"?","~?"),QueryData[Query ID],0)))</x:f>
      </x:c>
      <x:c r="C29" s="13" t="str">
        <x:f>IF(A29="","",IF(INDEX(QueryData[Capture status],MATCH(SUBSTITUTE(SUBSTITUTE(SUBSTITUTE(A29,"~","~~"),"*","~*"),"?","~?"),QueryData[Query ID],0))&lt;&gt;"Ready",INDEX(QueryData[Capture status],MATCH(SUBSTITUTE(SUBSTITUTE(SUBSTITUTE(A29,"~","~~"),"*","~*"),"?","~?"),QueryData[Query ID],0)),IF(INDEX(QueryData[Judgement status],MATCH(SUBSTITUTE(SUBSTITUTE(SUBSTITUTE(A29,"~","~~"),"*","~*"),"?","~?"),QueryData[Query ID],0))&lt;&gt;"Judged",INDEX(QueryData[Judgement status],MATCH(SUBSTITUTE(SUBSTITUTE(SUBSTITUTE(A29,"~","~~"),"*","~*"),"?","~?"),QueryData[Query ID],0)),"Ready")))</x:f>
      </x:c>
      <x:c r="D29" s="11" t="str">
        <x:f>IF(A29="","",SUMIFS(RecordData[In A at k],RecordData[Query ID],"="&amp;SUBSTITUTE(SUBSTITUTE(SUBSTITUTE(A29,"~","~~"),"*","~*"),"?","~?")))</x:f>
      </x:c>
      <x:c r="E29" s="11" t="str">
        <x:f>IF(A29="","",SUMIFS(RecordData[In B at k],RecordData[Query ID],"="&amp;SUBSTITUTE(SUBSTITUTE(SUBSTITUTE(A29,"~","~~"),"*","~*"),"?","~?")))</x:f>
      </x:c>
      <x:c r="F29" s="11" t="str">
        <x:f>IF(C29&lt;&gt;"Ready","",SUMIFS(RecordData[Relevant A],RecordData[Query ID],"="&amp;SUBSTITUTE(SUBSTITUTE(SUBSTITUTE(A29,"~","~~"),"*","~*"),"?","~?")))</x:f>
      </x:c>
      <x:c r="G29" s="11" t="str">
        <x:f>IF(C29&lt;&gt;"Ready","",SUMIFS(RecordData[Relevant B],RecordData[Query ID],"="&amp;SUBSTITUTE(SUBSTITUTE(SUBSTITUTE(A29,"~","~~"),"*","~*"),"?","~?")))</x:f>
      </x:c>
      <x:c r="H29" s="11" t="str">
        <x:f>IF(A29="","",$B$4)</x:f>
      </x:c>
      <x:c r="I29" s="18" t="str">
        <x:f>IF(C29&lt;&gt;"Ready","",F29/H29)</x:f>
      </x:c>
      <x:c r="J29" s="18" t="str">
        <x:f>IF(C29&lt;&gt;"Ready","",G29/H29)</x:f>
      </x:c>
      <x:c r="K29" s="18" t="str">
        <x:f>IF(C29&lt;&gt;"Ready","",J29-I29)</x:f>
      </x:c>
      <x:c r="L29" s="11" t="str">
        <x:f>IF(A29="","",SUMIFS(RecordData[Seed total],RecordData[Query ID],"="&amp;SUBSTITUTE(SUBSTITUTE(SUBSTITUTE(A29,"~","~~"),"*","~*"),"?","~?")))</x:f>
      </x:c>
      <x:c r="M29" s="11" t="str">
        <x:f>IF(A29="","",IF(INDEX(QueryData[Capture status],MATCH(SUBSTITUTE(SUBSTITUTE(SUBSTITUTE(A29,"~","~~"),"*","~*"),"?","~?"),QueryData[Query ID],0))&lt;&gt;"Ready","",SUMIFS(RecordData[Seed A],RecordData[Query ID],"="&amp;SUBSTITUTE(SUBSTITUTE(SUBSTITUTE(A29,"~","~~"),"*","~*"),"?","~?"))))</x:f>
      </x:c>
      <x:c r="N29" s="11" t="str">
        <x:f>IF(A29="","",IF(INDEX(QueryData[Capture status],MATCH(SUBSTITUTE(SUBSTITUTE(SUBSTITUTE(A29,"~","~~"),"*","~*"),"?","~?"),QueryData[Query ID],0))&lt;&gt;"Ready","",SUMIFS(RecordData[Seed B],RecordData[Query ID],"="&amp;SUBSTITUTE(SUBSTITUTE(SUBSTITUTE(A29,"~","~~"),"*","~*"),"?","~?"))))</x:f>
      </x:c>
      <x:c r="O29" s="18" t="str">
        <x:f>IF(A29="","",IF(INDEX(QueryData[Capture status],MATCH(SUBSTITUTE(SUBSTITUTE(SUBSTITUTE(A29,"~","~~"),"*","~*"),"?","~?"),QueryData[Query ID],0))&lt;&gt;"Ready","",IF(L29=0,"No seeds specified",M29/L29)))</x:f>
      </x:c>
      <x:c r="P29" s="18" t="str">
        <x:f>IF(A29="","",IF(INDEX(QueryData[Capture status],MATCH(SUBSTITUTE(SUBSTITUTE(SUBSTITUTE(A29,"~","~~"),"*","~*"),"?","~?"),QueryData[Query ID],0))&lt;&gt;"Ready","",IF(L29=0,"No seeds specified",N29/L29)))</x:f>
      </x:c>
      <x:c r="Q29" s="18" t="str">
        <x:f>IF(A29="","",IF(OR(INDEX(QueryData[Capture status],MATCH(SUBSTITUTE(SUBSTITUTE(SUBSTITUTE(A29,"~","~~"),"*","~*"),"?","~?"),QueryData[Query ID],0))&lt;&gt;"Ready",L29=0),"",P29-O29))</x:f>
      </x:c>
    </x:row>
    <x:row r="30" ht="48" customHeight="1">
      <x:c r="A30" s="11" t="str">
        <x:f>IF(Queries!A30="","",Queries!A30)</x:f>
      </x:c>
      <x:c r="B30" s="13" t="str">
        <x:f>IF(A30="","",INDEX(QueryData[Probe],MATCH(SUBSTITUTE(SUBSTITUTE(SUBSTITUTE(A30,"~","~~"),"*","~*"),"?","~?"),QueryData[Query ID],0)))</x:f>
      </x:c>
      <x:c r="C30" s="13" t="str">
        <x:f>IF(A30="","",IF(INDEX(QueryData[Capture status],MATCH(SUBSTITUTE(SUBSTITUTE(SUBSTITUTE(A30,"~","~~"),"*","~*"),"?","~?"),QueryData[Query ID],0))&lt;&gt;"Ready",INDEX(QueryData[Capture status],MATCH(SUBSTITUTE(SUBSTITUTE(SUBSTITUTE(A30,"~","~~"),"*","~*"),"?","~?"),QueryData[Query ID],0)),IF(INDEX(QueryData[Judgement status],MATCH(SUBSTITUTE(SUBSTITUTE(SUBSTITUTE(A30,"~","~~"),"*","~*"),"?","~?"),QueryData[Query ID],0))&lt;&gt;"Judged",INDEX(QueryData[Judgement status],MATCH(SUBSTITUTE(SUBSTITUTE(SUBSTITUTE(A30,"~","~~"),"*","~*"),"?","~?"),QueryData[Query ID],0)),"Ready")))</x:f>
      </x:c>
      <x:c r="D30" s="11" t="str">
        <x:f>IF(A30="","",SUMIFS(RecordData[In A at k],RecordData[Query ID],"="&amp;SUBSTITUTE(SUBSTITUTE(SUBSTITUTE(A30,"~","~~"),"*","~*"),"?","~?")))</x:f>
      </x:c>
      <x:c r="E30" s="11" t="str">
        <x:f>IF(A30="","",SUMIFS(RecordData[In B at k],RecordData[Query ID],"="&amp;SUBSTITUTE(SUBSTITUTE(SUBSTITUTE(A30,"~","~~"),"*","~*"),"?","~?")))</x:f>
      </x:c>
      <x:c r="F30" s="11" t="str">
        <x:f>IF(C30&lt;&gt;"Ready","",SUMIFS(RecordData[Relevant A],RecordData[Query ID],"="&amp;SUBSTITUTE(SUBSTITUTE(SUBSTITUTE(A30,"~","~~"),"*","~*"),"?","~?")))</x:f>
      </x:c>
      <x:c r="G30" s="11" t="str">
        <x:f>IF(C30&lt;&gt;"Ready","",SUMIFS(RecordData[Relevant B],RecordData[Query ID],"="&amp;SUBSTITUTE(SUBSTITUTE(SUBSTITUTE(A30,"~","~~"),"*","~*"),"?","~?")))</x:f>
      </x:c>
      <x:c r="H30" s="11" t="str">
        <x:f>IF(A30="","",$B$4)</x:f>
      </x:c>
      <x:c r="I30" s="18" t="str">
        <x:f>IF(C30&lt;&gt;"Ready","",F30/H30)</x:f>
      </x:c>
      <x:c r="J30" s="18" t="str">
        <x:f>IF(C30&lt;&gt;"Ready","",G30/H30)</x:f>
      </x:c>
      <x:c r="K30" s="18" t="str">
        <x:f>IF(C30&lt;&gt;"Ready","",J30-I30)</x:f>
      </x:c>
      <x:c r="L30" s="11" t="str">
        <x:f>IF(A30="","",SUMIFS(RecordData[Seed total],RecordData[Query ID],"="&amp;SUBSTITUTE(SUBSTITUTE(SUBSTITUTE(A30,"~","~~"),"*","~*"),"?","~?")))</x:f>
      </x:c>
      <x:c r="M30" s="11" t="str">
        <x:f>IF(A30="","",IF(INDEX(QueryData[Capture status],MATCH(SUBSTITUTE(SUBSTITUTE(SUBSTITUTE(A30,"~","~~"),"*","~*"),"?","~?"),QueryData[Query ID],0))&lt;&gt;"Ready","",SUMIFS(RecordData[Seed A],RecordData[Query ID],"="&amp;SUBSTITUTE(SUBSTITUTE(SUBSTITUTE(A30,"~","~~"),"*","~*"),"?","~?"))))</x:f>
      </x:c>
      <x:c r="N30" s="11" t="str">
        <x:f>IF(A30="","",IF(INDEX(QueryData[Capture status],MATCH(SUBSTITUTE(SUBSTITUTE(SUBSTITUTE(A30,"~","~~"),"*","~*"),"?","~?"),QueryData[Query ID],0))&lt;&gt;"Ready","",SUMIFS(RecordData[Seed B],RecordData[Query ID],"="&amp;SUBSTITUTE(SUBSTITUTE(SUBSTITUTE(A30,"~","~~"),"*","~*"),"?","~?"))))</x:f>
      </x:c>
      <x:c r="O30" s="18" t="str">
        <x:f>IF(A30="","",IF(INDEX(QueryData[Capture status],MATCH(SUBSTITUTE(SUBSTITUTE(SUBSTITUTE(A30,"~","~~"),"*","~*"),"?","~?"),QueryData[Query ID],0))&lt;&gt;"Ready","",IF(L30=0,"No seeds specified",M30/L30)))</x:f>
      </x:c>
      <x:c r="P30" s="18" t="str">
        <x:f>IF(A30="","",IF(INDEX(QueryData[Capture status],MATCH(SUBSTITUTE(SUBSTITUTE(SUBSTITUTE(A30,"~","~~"),"*","~*"),"?","~?"),QueryData[Query ID],0))&lt;&gt;"Ready","",IF(L30=0,"No seeds specified",N30/L30)))</x:f>
      </x:c>
      <x:c r="Q30" s="18" t="str">
        <x:f>IF(A30="","",IF(OR(INDEX(QueryData[Capture status],MATCH(SUBSTITUTE(SUBSTITUTE(SUBSTITUTE(A30,"~","~~"),"*","~*"),"?","~?"),QueryData[Query ID],0))&lt;&gt;"Ready",L30=0),"",P30-O30))</x:f>
      </x:c>
    </x:row>
    <x:row r="31" ht="48" customHeight="1">
      <x:c r="A31" s="11" t="str">
        <x:f>IF(Queries!A31="","",Queries!A31)</x:f>
      </x:c>
      <x:c r="B31" s="13" t="str">
        <x:f>IF(A31="","",INDEX(QueryData[Probe],MATCH(SUBSTITUTE(SUBSTITUTE(SUBSTITUTE(A31,"~","~~"),"*","~*"),"?","~?"),QueryData[Query ID],0)))</x:f>
      </x:c>
      <x:c r="C31" s="13" t="str">
        <x:f>IF(A31="","",IF(INDEX(QueryData[Capture status],MATCH(SUBSTITUTE(SUBSTITUTE(SUBSTITUTE(A31,"~","~~"),"*","~*"),"?","~?"),QueryData[Query ID],0))&lt;&gt;"Ready",INDEX(QueryData[Capture status],MATCH(SUBSTITUTE(SUBSTITUTE(SUBSTITUTE(A31,"~","~~"),"*","~*"),"?","~?"),QueryData[Query ID],0)),IF(INDEX(QueryData[Judgement status],MATCH(SUBSTITUTE(SUBSTITUTE(SUBSTITUTE(A31,"~","~~"),"*","~*"),"?","~?"),QueryData[Query ID],0))&lt;&gt;"Judged",INDEX(QueryData[Judgement status],MATCH(SUBSTITUTE(SUBSTITUTE(SUBSTITUTE(A31,"~","~~"),"*","~*"),"?","~?"),QueryData[Query ID],0)),"Ready")))</x:f>
      </x:c>
      <x:c r="D31" s="11" t="str">
        <x:f>IF(A31="","",SUMIFS(RecordData[In A at k],RecordData[Query ID],"="&amp;SUBSTITUTE(SUBSTITUTE(SUBSTITUTE(A31,"~","~~"),"*","~*"),"?","~?")))</x:f>
      </x:c>
      <x:c r="E31" s="11" t="str">
        <x:f>IF(A31="","",SUMIFS(RecordData[In B at k],RecordData[Query ID],"="&amp;SUBSTITUTE(SUBSTITUTE(SUBSTITUTE(A31,"~","~~"),"*","~*"),"?","~?")))</x:f>
      </x:c>
      <x:c r="F31" s="11" t="str">
        <x:f>IF(C31&lt;&gt;"Ready","",SUMIFS(RecordData[Relevant A],RecordData[Query ID],"="&amp;SUBSTITUTE(SUBSTITUTE(SUBSTITUTE(A31,"~","~~"),"*","~*"),"?","~?")))</x:f>
      </x:c>
      <x:c r="G31" s="11" t="str">
        <x:f>IF(C31&lt;&gt;"Ready","",SUMIFS(RecordData[Relevant B],RecordData[Query ID],"="&amp;SUBSTITUTE(SUBSTITUTE(SUBSTITUTE(A31,"~","~~"),"*","~*"),"?","~?")))</x:f>
      </x:c>
      <x:c r="H31" s="11" t="str">
        <x:f>IF(A31="","",$B$4)</x:f>
      </x:c>
      <x:c r="I31" s="18" t="str">
        <x:f>IF(C31&lt;&gt;"Ready","",F31/H31)</x:f>
      </x:c>
      <x:c r="J31" s="18" t="str">
        <x:f>IF(C31&lt;&gt;"Ready","",G31/H31)</x:f>
      </x:c>
      <x:c r="K31" s="18" t="str">
        <x:f>IF(C31&lt;&gt;"Ready","",J31-I31)</x:f>
      </x:c>
      <x:c r="L31" s="11" t="str">
        <x:f>IF(A31="","",SUMIFS(RecordData[Seed total],RecordData[Query ID],"="&amp;SUBSTITUTE(SUBSTITUTE(SUBSTITUTE(A31,"~","~~"),"*","~*"),"?","~?")))</x:f>
      </x:c>
      <x:c r="M31" s="11" t="str">
        <x:f>IF(A31="","",IF(INDEX(QueryData[Capture status],MATCH(SUBSTITUTE(SUBSTITUTE(SUBSTITUTE(A31,"~","~~"),"*","~*"),"?","~?"),QueryData[Query ID],0))&lt;&gt;"Ready","",SUMIFS(RecordData[Seed A],RecordData[Query ID],"="&amp;SUBSTITUTE(SUBSTITUTE(SUBSTITUTE(A31,"~","~~"),"*","~*"),"?","~?"))))</x:f>
      </x:c>
      <x:c r="N31" s="11" t="str">
        <x:f>IF(A31="","",IF(INDEX(QueryData[Capture status],MATCH(SUBSTITUTE(SUBSTITUTE(SUBSTITUTE(A31,"~","~~"),"*","~*"),"?","~?"),QueryData[Query ID],0))&lt;&gt;"Ready","",SUMIFS(RecordData[Seed B],RecordData[Query ID],"="&amp;SUBSTITUTE(SUBSTITUTE(SUBSTITUTE(A31,"~","~~"),"*","~*"),"?","~?"))))</x:f>
      </x:c>
      <x:c r="O31" s="18" t="str">
        <x:f>IF(A31="","",IF(INDEX(QueryData[Capture status],MATCH(SUBSTITUTE(SUBSTITUTE(SUBSTITUTE(A31,"~","~~"),"*","~*"),"?","~?"),QueryData[Query ID],0))&lt;&gt;"Ready","",IF(L31=0,"No seeds specified",M31/L31)))</x:f>
      </x:c>
      <x:c r="P31" s="18" t="str">
        <x:f>IF(A31="","",IF(INDEX(QueryData[Capture status],MATCH(SUBSTITUTE(SUBSTITUTE(SUBSTITUTE(A31,"~","~~"),"*","~*"),"?","~?"),QueryData[Query ID],0))&lt;&gt;"Ready","",IF(L31=0,"No seeds specified",N31/L31)))</x:f>
      </x:c>
      <x:c r="Q31" s="18" t="str">
        <x:f>IF(A31="","",IF(OR(INDEX(QueryData[Capture status],MATCH(SUBSTITUTE(SUBSTITUTE(SUBSTITUTE(A31,"~","~~"),"*","~*"),"?","~?"),QueryData[Query ID],0))&lt;&gt;"Ready",L31=0),"",P31-O31))</x:f>
      </x:c>
    </x:row>
    <x:row r="32" ht="48" customHeight="1">
      <x:c r="A32" s="11" t="str">
        <x:f>IF(Queries!A32="","",Queries!A32)</x:f>
      </x:c>
      <x:c r="B32" s="13" t="str">
        <x:f>IF(A32="","",INDEX(QueryData[Probe],MATCH(SUBSTITUTE(SUBSTITUTE(SUBSTITUTE(A32,"~","~~"),"*","~*"),"?","~?"),QueryData[Query ID],0)))</x:f>
      </x:c>
      <x:c r="C32" s="13" t="str">
        <x:f>IF(A32="","",IF(INDEX(QueryData[Capture status],MATCH(SUBSTITUTE(SUBSTITUTE(SUBSTITUTE(A32,"~","~~"),"*","~*"),"?","~?"),QueryData[Query ID],0))&lt;&gt;"Ready",INDEX(QueryData[Capture status],MATCH(SUBSTITUTE(SUBSTITUTE(SUBSTITUTE(A32,"~","~~"),"*","~*"),"?","~?"),QueryData[Query ID],0)),IF(INDEX(QueryData[Judgement status],MATCH(SUBSTITUTE(SUBSTITUTE(SUBSTITUTE(A32,"~","~~"),"*","~*"),"?","~?"),QueryData[Query ID],0))&lt;&gt;"Judged",INDEX(QueryData[Judgement status],MATCH(SUBSTITUTE(SUBSTITUTE(SUBSTITUTE(A32,"~","~~"),"*","~*"),"?","~?"),QueryData[Query ID],0)),"Ready")))</x:f>
      </x:c>
      <x:c r="D32" s="11" t="str">
        <x:f>IF(A32="","",SUMIFS(RecordData[In A at k],RecordData[Query ID],"="&amp;SUBSTITUTE(SUBSTITUTE(SUBSTITUTE(A32,"~","~~"),"*","~*"),"?","~?")))</x:f>
      </x:c>
      <x:c r="E32" s="11" t="str">
        <x:f>IF(A32="","",SUMIFS(RecordData[In B at k],RecordData[Query ID],"="&amp;SUBSTITUTE(SUBSTITUTE(SUBSTITUTE(A32,"~","~~"),"*","~*"),"?","~?")))</x:f>
      </x:c>
      <x:c r="F32" s="11" t="str">
        <x:f>IF(C32&lt;&gt;"Ready","",SUMIFS(RecordData[Relevant A],RecordData[Query ID],"="&amp;SUBSTITUTE(SUBSTITUTE(SUBSTITUTE(A32,"~","~~"),"*","~*"),"?","~?")))</x:f>
      </x:c>
      <x:c r="G32" s="11" t="str">
        <x:f>IF(C32&lt;&gt;"Ready","",SUMIFS(RecordData[Relevant B],RecordData[Query ID],"="&amp;SUBSTITUTE(SUBSTITUTE(SUBSTITUTE(A32,"~","~~"),"*","~*"),"?","~?")))</x:f>
      </x:c>
      <x:c r="H32" s="11" t="str">
        <x:f>IF(A32="","",$B$4)</x:f>
      </x:c>
      <x:c r="I32" s="18" t="str">
        <x:f>IF(C32&lt;&gt;"Ready","",F32/H32)</x:f>
      </x:c>
      <x:c r="J32" s="18" t="str">
        <x:f>IF(C32&lt;&gt;"Ready","",G32/H32)</x:f>
      </x:c>
      <x:c r="K32" s="18" t="str">
        <x:f>IF(C32&lt;&gt;"Ready","",J32-I32)</x:f>
      </x:c>
      <x:c r="L32" s="11" t="str">
        <x:f>IF(A32="","",SUMIFS(RecordData[Seed total],RecordData[Query ID],"="&amp;SUBSTITUTE(SUBSTITUTE(SUBSTITUTE(A32,"~","~~"),"*","~*"),"?","~?")))</x:f>
      </x:c>
      <x:c r="M32" s="11" t="str">
        <x:f>IF(A32="","",IF(INDEX(QueryData[Capture status],MATCH(SUBSTITUTE(SUBSTITUTE(SUBSTITUTE(A32,"~","~~"),"*","~*"),"?","~?"),QueryData[Query ID],0))&lt;&gt;"Ready","",SUMIFS(RecordData[Seed A],RecordData[Query ID],"="&amp;SUBSTITUTE(SUBSTITUTE(SUBSTITUTE(A32,"~","~~"),"*","~*"),"?","~?"))))</x:f>
      </x:c>
      <x:c r="N32" s="11" t="str">
        <x:f>IF(A32="","",IF(INDEX(QueryData[Capture status],MATCH(SUBSTITUTE(SUBSTITUTE(SUBSTITUTE(A32,"~","~~"),"*","~*"),"?","~?"),QueryData[Query ID],0))&lt;&gt;"Ready","",SUMIFS(RecordData[Seed B],RecordData[Query ID],"="&amp;SUBSTITUTE(SUBSTITUTE(SUBSTITUTE(A32,"~","~~"),"*","~*"),"?","~?"))))</x:f>
      </x:c>
      <x:c r="O32" s="18" t="str">
        <x:f>IF(A32="","",IF(INDEX(QueryData[Capture status],MATCH(SUBSTITUTE(SUBSTITUTE(SUBSTITUTE(A32,"~","~~"),"*","~*"),"?","~?"),QueryData[Query ID],0))&lt;&gt;"Ready","",IF(L32=0,"No seeds specified",M32/L32)))</x:f>
      </x:c>
      <x:c r="P32" s="18" t="str">
        <x:f>IF(A32="","",IF(INDEX(QueryData[Capture status],MATCH(SUBSTITUTE(SUBSTITUTE(SUBSTITUTE(A32,"~","~~"),"*","~*"),"?","~?"),QueryData[Query ID],0))&lt;&gt;"Ready","",IF(L32=0,"No seeds specified",N32/L32)))</x:f>
      </x:c>
      <x:c r="Q32" s="18" t="str">
        <x:f>IF(A32="","",IF(OR(INDEX(QueryData[Capture status],MATCH(SUBSTITUTE(SUBSTITUTE(SUBSTITUTE(A32,"~","~~"),"*","~*"),"?","~?"),QueryData[Query ID],0))&lt;&gt;"Ready",L32=0),"",P32-O32))</x:f>
      </x:c>
    </x:row>
    <x:row r="33" ht="48" customHeight="1">
      <x:c r="A33" s="11" t="str">
        <x:f>IF(Queries!A33="","",Queries!A33)</x:f>
      </x:c>
      <x:c r="B33" s="13" t="str">
        <x:f>IF(A33="","",INDEX(QueryData[Probe],MATCH(SUBSTITUTE(SUBSTITUTE(SUBSTITUTE(A33,"~","~~"),"*","~*"),"?","~?"),QueryData[Query ID],0)))</x:f>
      </x:c>
      <x:c r="C33" s="13" t="str">
        <x:f>IF(A33="","",IF(INDEX(QueryData[Capture status],MATCH(SUBSTITUTE(SUBSTITUTE(SUBSTITUTE(A33,"~","~~"),"*","~*"),"?","~?"),QueryData[Query ID],0))&lt;&gt;"Ready",INDEX(QueryData[Capture status],MATCH(SUBSTITUTE(SUBSTITUTE(SUBSTITUTE(A33,"~","~~"),"*","~*"),"?","~?"),QueryData[Query ID],0)),IF(INDEX(QueryData[Judgement status],MATCH(SUBSTITUTE(SUBSTITUTE(SUBSTITUTE(A33,"~","~~"),"*","~*"),"?","~?"),QueryData[Query ID],0))&lt;&gt;"Judged",INDEX(QueryData[Judgement status],MATCH(SUBSTITUTE(SUBSTITUTE(SUBSTITUTE(A33,"~","~~"),"*","~*"),"?","~?"),QueryData[Query ID],0)),"Ready")))</x:f>
      </x:c>
      <x:c r="D33" s="11" t="str">
        <x:f>IF(A33="","",SUMIFS(RecordData[In A at k],RecordData[Query ID],"="&amp;SUBSTITUTE(SUBSTITUTE(SUBSTITUTE(A33,"~","~~"),"*","~*"),"?","~?")))</x:f>
      </x:c>
      <x:c r="E33" s="11" t="str">
        <x:f>IF(A33="","",SUMIFS(RecordData[In B at k],RecordData[Query ID],"="&amp;SUBSTITUTE(SUBSTITUTE(SUBSTITUTE(A33,"~","~~"),"*","~*"),"?","~?")))</x:f>
      </x:c>
      <x:c r="F33" s="11" t="str">
        <x:f>IF(C33&lt;&gt;"Ready","",SUMIFS(RecordData[Relevant A],RecordData[Query ID],"="&amp;SUBSTITUTE(SUBSTITUTE(SUBSTITUTE(A33,"~","~~"),"*","~*"),"?","~?")))</x:f>
      </x:c>
      <x:c r="G33" s="11" t="str">
        <x:f>IF(C33&lt;&gt;"Ready","",SUMIFS(RecordData[Relevant B],RecordData[Query ID],"="&amp;SUBSTITUTE(SUBSTITUTE(SUBSTITUTE(A33,"~","~~"),"*","~*"),"?","~?")))</x:f>
      </x:c>
      <x:c r="H33" s="11" t="str">
        <x:f>IF(A33="","",$B$4)</x:f>
      </x:c>
      <x:c r="I33" s="18" t="str">
        <x:f>IF(C33&lt;&gt;"Ready","",F33/H33)</x:f>
      </x:c>
      <x:c r="J33" s="18" t="str">
        <x:f>IF(C33&lt;&gt;"Ready","",G33/H33)</x:f>
      </x:c>
      <x:c r="K33" s="18" t="str">
        <x:f>IF(C33&lt;&gt;"Ready","",J33-I33)</x:f>
      </x:c>
      <x:c r="L33" s="11" t="str">
        <x:f>IF(A33="","",SUMIFS(RecordData[Seed total],RecordData[Query ID],"="&amp;SUBSTITUTE(SUBSTITUTE(SUBSTITUTE(A33,"~","~~"),"*","~*"),"?","~?")))</x:f>
      </x:c>
      <x:c r="M33" s="11" t="str">
        <x:f>IF(A33="","",IF(INDEX(QueryData[Capture status],MATCH(SUBSTITUTE(SUBSTITUTE(SUBSTITUTE(A33,"~","~~"),"*","~*"),"?","~?"),QueryData[Query ID],0))&lt;&gt;"Ready","",SUMIFS(RecordData[Seed A],RecordData[Query ID],"="&amp;SUBSTITUTE(SUBSTITUTE(SUBSTITUTE(A33,"~","~~"),"*","~*"),"?","~?"))))</x:f>
      </x:c>
      <x:c r="N33" s="11" t="str">
        <x:f>IF(A33="","",IF(INDEX(QueryData[Capture status],MATCH(SUBSTITUTE(SUBSTITUTE(SUBSTITUTE(A33,"~","~~"),"*","~*"),"?","~?"),QueryData[Query ID],0))&lt;&gt;"Ready","",SUMIFS(RecordData[Seed B],RecordData[Query ID],"="&amp;SUBSTITUTE(SUBSTITUTE(SUBSTITUTE(A33,"~","~~"),"*","~*"),"?","~?"))))</x:f>
      </x:c>
      <x:c r="O33" s="18" t="str">
        <x:f>IF(A33="","",IF(INDEX(QueryData[Capture status],MATCH(SUBSTITUTE(SUBSTITUTE(SUBSTITUTE(A33,"~","~~"),"*","~*"),"?","~?"),QueryData[Query ID],0))&lt;&gt;"Ready","",IF(L33=0,"No seeds specified",M33/L33)))</x:f>
      </x:c>
      <x:c r="P33" s="18" t="str">
        <x:f>IF(A33="","",IF(INDEX(QueryData[Capture status],MATCH(SUBSTITUTE(SUBSTITUTE(SUBSTITUTE(A33,"~","~~"),"*","~*"),"?","~?"),QueryData[Query ID],0))&lt;&gt;"Ready","",IF(L33=0,"No seeds specified",N33/L33)))</x:f>
      </x:c>
      <x:c r="Q33" s="18" t="str">
        <x:f>IF(A33="","",IF(OR(INDEX(QueryData[Capture status],MATCH(SUBSTITUTE(SUBSTITUTE(SUBSTITUTE(A33,"~","~~"),"*","~*"),"?","~?"),QueryData[Query ID],0))&lt;&gt;"Ready",L33=0),"",P33-O33))</x:f>
      </x:c>
    </x:row>
    <x:row r="34" ht="48" customHeight="1">
      <x:c r="A34" s="11" t="str">
        <x:f>IF(Queries!A34="","",Queries!A34)</x:f>
      </x:c>
      <x:c r="B34" s="13" t="str">
        <x:f>IF(A34="","",INDEX(QueryData[Probe],MATCH(SUBSTITUTE(SUBSTITUTE(SUBSTITUTE(A34,"~","~~"),"*","~*"),"?","~?"),QueryData[Query ID],0)))</x:f>
      </x:c>
      <x:c r="C34" s="13" t="str">
        <x:f>IF(A34="","",IF(INDEX(QueryData[Capture status],MATCH(SUBSTITUTE(SUBSTITUTE(SUBSTITUTE(A34,"~","~~"),"*","~*"),"?","~?"),QueryData[Query ID],0))&lt;&gt;"Ready",INDEX(QueryData[Capture status],MATCH(SUBSTITUTE(SUBSTITUTE(SUBSTITUTE(A34,"~","~~"),"*","~*"),"?","~?"),QueryData[Query ID],0)),IF(INDEX(QueryData[Judgement status],MATCH(SUBSTITUTE(SUBSTITUTE(SUBSTITUTE(A34,"~","~~"),"*","~*"),"?","~?"),QueryData[Query ID],0))&lt;&gt;"Judged",INDEX(QueryData[Judgement status],MATCH(SUBSTITUTE(SUBSTITUTE(SUBSTITUTE(A34,"~","~~"),"*","~*"),"?","~?"),QueryData[Query ID],0)),"Ready")))</x:f>
      </x:c>
      <x:c r="D34" s="11" t="str">
        <x:f>IF(A34="","",SUMIFS(RecordData[In A at k],RecordData[Query ID],"="&amp;SUBSTITUTE(SUBSTITUTE(SUBSTITUTE(A34,"~","~~"),"*","~*"),"?","~?")))</x:f>
      </x:c>
      <x:c r="E34" s="11" t="str">
        <x:f>IF(A34="","",SUMIFS(RecordData[In B at k],RecordData[Query ID],"="&amp;SUBSTITUTE(SUBSTITUTE(SUBSTITUTE(A34,"~","~~"),"*","~*"),"?","~?")))</x:f>
      </x:c>
      <x:c r="F34" s="11" t="str">
        <x:f>IF(C34&lt;&gt;"Ready","",SUMIFS(RecordData[Relevant A],RecordData[Query ID],"="&amp;SUBSTITUTE(SUBSTITUTE(SUBSTITUTE(A34,"~","~~"),"*","~*"),"?","~?")))</x:f>
      </x:c>
      <x:c r="G34" s="11" t="str">
        <x:f>IF(C34&lt;&gt;"Ready","",SUMIFS(RecordData[Relevant B],RecordData[Query ID],"="&amp;SUBSTITUTE(SUBSTITUTE(SUBSTITUTE(A34,"~","~~"),"*","~*"),"?","~?")))</x:f>
      </x:c>
      <x:c r="H34" s="11" t="str">
        <x:f>IF(A34="","",$B$4)</x:f>
      </x:c>
      <x:c r="I34" s="18" t="str">
        <x:f>IF(C34&lt;&gt;"Ready","",F34/H34)</x:f>
      </x:c>
      <x:c r="J34" s="18" t="str">
        <x:f>IF(C34&lt;&gt;"Ready","",G34/H34)</x:f>
      </x:c>
      <x:c r="K34" s="18" t="str">
        <x:f>IF(C34&lt;&gt;"Ready","",J34-I34)</x:f>
      </x:c>
      <x:c r="L34" s="11" t="str">
        <x:f>IF(A34="","",SUMIFS(RecordData[Seed total],RecordData[Query ID],"="&amp;SUBSTITUTE(SUBSTITUTE(SUBSTITUTE(A34,"~","~~"),"*","~*"),"?","~?")))</x:f>
      </x:c>
      <x:c r="M34" s="11" t="str">
        <x:f>IF(A34="","",IF(INDEX(QueryData[Capture status],MATCH(SUBSTITUTE(SUBSTITUTE(SUBSTITUTE(A34,"~","~~"),"*","~*"),"?","~?"),QueryData[Query ID],0))&lt;&gt;"Ready","",SUMIFS(RecordData[Seed A],RecordData[Query ID],"="&amp;SUBSTITUTE(SUBSTITUTE(SUBSTITUTE(A34,"~","~~"),"*","~*"),"?","~?"))))</x:f>
      </x:c>
      <x:c r="N34" s="11" t="str">
        <x:f>IF(A34="","",IF(INDEX(QueryData[Capture status],MATCH(SUBSTITUTE(SUBSTITUTE(SUBSTITUTE(A34,"~","~~"),"*","~*"),"?","~?"),QueryData[Query ID],0))&lt;&gt;"Ready","",SUMIFS(RecordData[Seed B],RecordData[Query ID],"="&amp;SUBSTITUTE(SUBSTITUTE(SUBSTITUTE(A34,"~","~~"),"*","~*"),"?","~?"))))</x:f>
      </x:c>
      <x:c r="O34" s="18" t="str">
        <x:f>IF(A34="","",IF(INDEX(QueryData[Capture status],MATCH(SUBSTITUTE(SUBSTITUTE(SUBSTITUTE(A34,"~","~~"),"*","~*"),"?","~?"),QueryData[Query ID],0))&lt;&gt;"Ready","",IF(L34=0,"No seeds specified",M34/L34)))</x:f>
      </x:c>
      <x:c r="P34" s="18" t="str">
        <x:f>IF(A34="","",IF(INDEX(QueryData[Capture status],MATCH(SUBSTITUTE(SUBSTITUTE(SUBSTITUTE(A34,"~","~~"),"*","~*"),"?","~?"),QueryData[Query ID],0))&lt;&gt;"Ready","",IF(L34=0,"No seeds specified",N34/L34)))</x:f>
      </x:c>
      <x:c r="Q34" s="18" t="str">
        <x:f>IF(A34="","",IF(OR(INDEX(QueryData[Capture status],MATCH(SUBSTITUTE(SUBSTITUTE(SUBSTITUTE(A34,"~","~~"),"*","~*"),"?","~?"),QueryData[Query ID],0))&lt;&gt;"Ready",L34=0),"",P34-O34))</x:f>
      </x:c>
    </x:row>
    <x:row r="35" ht="48" customHeight="1">
      <x:c r="A35" s="11" t="str">
        <x:f>IF(Queries!A35="","",Queries!A35)</x:f>
      </x:c>
      <x:c r="B35" s="13" t="str">
        <x:f>IF(A35="","",INDEX(QueryData[Probe],MATCH(SUBSTITUTE(SUBSTITUTE(SUBSTITUTE(A35,"~","~~"),"*","~*"),"?","~?"),QueryData[Query ID],0)))</x:f>
      </x:c>
      <x:c r="C35" s="13" t="str">
        <x:f>IF(A35="","",IF(INDEX(QueryData[Capture status],MATCH(SUBSTITUTE(SUBSTITUTE(SUBSTITUTE(A35,"~","~~"),"*","~*"),"?","~?"),QueryData[Query ID],0))&lt;&gt;"Ready",INDEX(QueryData[Capture status],MATCH(SUBSTITUTE(SUBSTITUTE(SUBSTITUTE(A35,"~","~~"),"*","~*"),"?","~?"),QueryData[Query ID],0)),IF(INDEX(QueryData[Judgement status],MATCH(SUBSTITUTE(SUBSTITUTE(SUBSTITUTE(A35,"~","~~"),"*","~*"),"?","~?"),QueryData[Query ID],0))&lt;&gt;"Judged",INDEX(QueryData[Judgement status],MATCH(SUBSTITUTE(SUBSTITUTE(SUBSTITUTE(A35,"~","~~"),"*","~*"),"?","~?"),QueryData[Query ID],0)),"Ready")))</x:f>
      </x:c>
      <x:c r="D35" s="11" t="str">
        <x:f>IF(A35="","",SUMIFS(RecordData[In A at k],RecordData[Query ID],"="&amp;SUBSTITUTE(SUBSTITUTE(SUBSTITUTE(A35,"~","~~"),"*","~*"),"?","~?")))</x:f>
      </x:c>
      <x:c r="E35" s="11" t="str">
        <x:f>IF(A35="","",SUMIFS(RecordData[In B at k],RecordData[Query ID],"="&amp;SUBSTITUTE(SUBSTITUTE(SUBSTITUTE(A35,"~","~~"),"*","~*"),"?","~?")))</x:f>
      </x:c>
      <x:c r="F35" s="11" t="str">
        <x:f>IF(C35&lt;&gt;"Ready","",SUMIFS(RecordData[Relevant A],RecordData[Query ID],"="&amp;SUBSTITUTE(SUBSTITUTE(SUBSTITUTE(A35,"~","~~"),"*","~*"),"?","~?")))</x:f>
      </x:c>
      <x:c r="G35" s="11" t="str">
        <x:f>IF(C35&lt;&gt;"Ready","",SUMIFS(RecordData[Relevant B],RecordData[Query ID],"="&amp;SUBSTITUTE(SUBSTITUTE(SUBSTITUTE(A35,"~","~~"),"*","~*"),"?","~?")))</x:f>
      </x:c>
      <x:c r="H35" s="11" t="str">
        <x:f>IF(A35="","",$B$4)</x:f>
      </x:c>
      <x:c r="I35" s="18" t="str">
        <x:f>IF(C35&lt;&gt;"Ready","",F35/H35)</x:f>
      </x:c>
      <x:c r="J35" s="18" t="str">
        <x:f>IF(C35&lt;&gt;"Ready","",G35/H35)</x:f>
      </x:c>
      <x:c r="K35" s="18" t="str">
        <x:f>IF(C35&lt;&gt;"Ready","",J35-I35)</x:f>
      </x:c>
      <x:c r="L35" s="11" t="str">
        <x:f>IF(A35="","",SUMIFS(RecordData[Seed total],RecordData[Query ID],"="&amp;SUBSTITUTE(SUBSTITUTE(SUBSTITUTE(A35,"~","~~"),"*","~*"),"?","~?")))</x:f>
      </x:c>
      <x:c r="M35" s="11" t="str">
        <x:f>IF(A35="","",IF(INDEX(QueryData[Capture status],MATCH(SUBSTITUTE(SUBSTITUTE(SUBSTITUTE(A35,"~","~~"),"*","~*"),"?","~?"),QueryData[Query ID],0))&lt;&gt;"Ready","",SUMIFS(RecordData[Seed A],RecordData[Query ID],"="&amp;SUBSTITUTE(SUBSTITUTE(SUBSTITUTE(A35,"~","~~"),"*","~*"),"?","~?"))))</x:f>
      </x:c>
      <x:c r="N35" s="11" t="str">
        <x:f>IF(A35="","",IF(INDEX(QueryData[Capture status],MATCH(SUBSTITUTE(SUBSTITUTE(SUBSTITUTE(A35,"~","~~"),"*","~*"),"?","~?"),QueryData[Query ID],0))&lt;&gt;"Ready","",SUMIFS(RecordData[Seed B],RecordData[Query ID],"="&amp;SUBSTITUTE(SUBSTITUTE(SUBSTITUTE(A35,"~","~~"),"*","~*"),"?","~?"))))</x:f>
      </x:c>
      <x:c r="O35" s="18" t="str">
        <x:f>IF(A35="","",IF(INDEX(QueryData[Capture status],MATCH(SUBSTITUTE(SUBSTITUTE(SUBSTITUTE(A35,"~","~~"),"*","~*"),"?","~?"),QueryData[Query ID],0))&lt;&gt;"Ready","",IF(L35=0,"No seeds specified",M35/L35)))</x:f>
      </x:c>
      <x:c r="P35" s="18" t="str">
        <x:f>IF(A35="","",IF(INDEX(QueryData[Capture status],MATCH(SUBSTITUTE(SUBSTITUTE(SUBSTITUTE(A35,"~","~~"),"*","~*"),"?","~?"),QueryData[Query ID],0))&lt;&gt;"Ready","",IF(L35=0,"No seeds specified",N35/L35)))</x:f>
      </x:c>
      <x:c r="Q35" s="18" t="str">
        <x:f>IF(A35="","",IF(OR(INDEX(QueryData[Capture status],MATCH(SUBSTITUTE(SUBSTITUTE(SUBSTITUTE(A35,"~","~~"),"*","~*"),"?","~?"),QueryData[Query ID],0))&lt;&gt;"Ready",L35=0),"",P35-O35))</x:f>
      </x:c>
    </x:row>
    <x:row r="36" ht="48" customHeight="1">
      <x:c r="A36" s="11" t="str">
        <x:f>IF(Queries!A36="","",Queries!A36)</x:f>
      </x:c>
      <x:c r="B36" s="13" t="str">
        <x:f>IF(A36="","",INDEX(QueryData[Probe],MATCH(SUBSTITUTE(SUBSTITUTE(SUBSTITUTE(A36,"~","~~"),"*","~*"),"?","~?"),QueryData[Query ID],0)))</x:f>
      </x:c>
      <x:c r="C36" s="13" t="str">
        <x:f>IF(A36="","",IF(INDEX(QueryData[Capture status],MATCH(SUBSTITUTE(SUBSTITUTE(SUBSTITUTE(A36,"~","~~"),"*","~*"),"?","~?"),QueryData[Query ID],0))&lt;&gt;"Ready",INDEX(QueryData[Capture status],MATCH(SUBSTITUTE(SUBSTITUTE(SUBSTITUTE(A36,"~","~~"),"*","~*"),"?","~?"),QueryData[Query ID],0)),IF(INDEX(QueryData[Judgement status],MATCH(SUBSTITUTE(SUBSTITUTE(SUBSTITUTE(A36,"~","~~"),"*","~*"),"?","~?"),QueryData[Query ID],0))&lt;&gt;"Judged",INDEX(QueryData[Judgement status],MATCH(SUBSTITUTE(SUBSTITUTE(SUBSTITUTE(A36,"~","~~"),"*","~*"),"?","~?"),QueryData[Query ID],0)),"Ready")))</x:f>
      </x:c>
      <x:c r="D36" s="11" t="str">
        <x:f>IF(A36="","",SUMIFS(RecordData[In A at k],RecordData[Query ID],"="&amp;SUBSTITUTE(SUBSTITUTE(SUBSTITUTE(A36,"~","~~"),"*","~*"),"?","~?")))</x:f>
      </x:c>
      <x:c r="E36" s="11" t="str">
        <x:f>IF(A36="","",SUMIFS(RecordData[In B at k],RecordData[Query ID],"="&amp;SUBSTITUTE(SUBSTITUTE(SUBSTITUTE(A36,"~","~~"),"*","~*"),"?","~?")))</x:f>
      </x:c>
      <x:c r="F36" s="11" t="str">
        <x:f>IF(C36&lt;&gt;"Ready","",SUMIFS(RecordData[Relevant A],RecordData[Query ID],"="&amp;SUBSTITUTE(SUBSTITUTE(SUBSTITUTE(A36,"~","~~"),"*","~*"),"?","~?")))</x:f>
      </x:c>
      <x:c r="G36" s="11" t="str">
        <x:f>IF(C36&lt;&gt;"Ready","",SUMIFS(RecordData[Relevant B],RecordData[Query ID],"="&amp;SUBSTITUTE(SUBSTITUTE(SUBSTITUTE(A36,"~","~~"),"*","~*"),"?","~?")))</x:f>
      </x:c>
      <x:c r="H36" s="11" t="str">
        <x:f>IF(A36="","",$B$4)</x:f>
      </x:c>
      <x:c r="I36" s="18" t="str">
        <x:f>IF(C36&lt;&gt;"Ready","",F36/H36)</x:f>
      </x:c>
      <x:c r="J36" s="18" t="str">
        <x:f>IF(C36&lt;&gt;"Ready","",G36/H36)</x:f>
      </x:c>
      <x:c r="K36" s="18" t="str">
        <x:f>IF(C36&lt;&gt;"Ready","",J36-I36)</x:f>
      </x:c>
      <x:c r="L36" s="11" t="str">
        <x:f>IF(A36="","",SUMIFS(RecordData[Seed total],RecordData[Query ID],"="&amp;SUBSTITUTE(SUBSTITUTE(SUBSTITUTE(A36,"~","~~"),"*","~*"),"?","~?")))</x:f>
      </x:c>
      <x:c r="M36" s="11" t="str">
        <x:f>IF(A36="","",IF(INDEX(QueryData[Capture status],MATCH(SUBSTITUTE(SUBSTITUTE(SUBSTITUTE(A36,"~","~~"),"*","~*"),"?","~?"),QueryData[Query ID],0))&lt;&gt;"Ready","",SUMIFS(RecordData[Seed A],RecordData[Query ID],"="&amp;SUBSTITUTE(SUBSTITUTE(SUBSTITUTE(A36,"~","~~"),"*","~*"),"?","~?"))))</x:f>
      </x:c>
      <x:c r="N36" s="11" t="str">
        <x:f>IF(A36="","",IF(INDEX(QueryData[Capture status],MATCH(SUBSTITUTE(SUBSTITUTE(SUBSTITUTE(A36,"~","~~"),"*","~*"),"?","~?"),QueryData[Query ID],0))&lt;&gt;"Ready","",SUMIFS(RecordData[Seed B],RecordData[Query ID],"="&amp;SUBSTITUTE(SUBSTITUTE(SUBSTITUTE(A36,"~","~~"),"*","~*"),"?","~?"))))</x:f>
      </x:c>
      <x:c r="O36" s="18" t="str">
        <x:f>IF(A36="","",IF(INDEX(QueryData[Capture status],MATCH(SUBSTITUTE(SUBSTITUTE(SUBSTITUTE(A36,"~","~~"),"*","~*"),"?","~?"),QueryData[Query ID],0))&lt;&gt;"Ready","",IF(L36=0,"No seeds specified",M36/L36)))</x:f>
      </x:c>
      <x:c r="P36" s="18" t="str">
        <x:f>IF(A36="","",IF(INDEX(QueryData[Capture status],MATCH(SUBSTITUTE(SUBSTITUTE(SUBSTITUTE(A36,"~","~~"),"*","~*"),"?","~?"),QueryData[Query ID],0))&lt;&gt;"Ready","",IF(L36=0,"No seeds specified",N36/L36)))</x:f>
      </x:c>
      <x:c r="Q36" s="18" t="str">
        <x:f>IF(A36="","",IF(OR(INDEX(QueryData[Capture status],MATCH(SUBSTITUTE(SUBSTITUTE(SUBSTITUTE(A36,"~","~~"),"*","~*"),"?","~?"),QueryData[Query ID],0))&lt;&gt;"Ready",L36=0),"",P36-O36))</x:f>
      </x:c>
    </x:row>
    <x:row r="37" ht="48" customHeight="1">
      <x:c r="A37" s="11" t="str">
        <x:f>IF(Queries!A37="","",Queries!A37)</x:f>
      </x:c>
      <x:c r="B37" s="13" t="str">
        <x:f>IF(A37="","",INDEX(QueryData[Probe],MATCH(SUBSTITUTE(SUBSTITUTE(SUBSTITUTE(A37,"~","~~"),"*","~*"),"?","~?"),QueryData[Query ID],0)))</x:f>
      </x:c>
      <x:c r="C37" s="13" t="str">
        <x:f>IF(A37="","",IF(INDEX(QueryData[Capture status],MATCH(SUBSTITUTE(SUBSTITUTE(SUBSTITUTE(A37,"~","~~"),"*","~*"),"?","~?"),QueryData[Query ID],0))&lt;&gt;"Ready",INDEX(QueryData[Capture status],MATCH(SUBSTITUTE(SUBSTITUTE(SUBSTITUTE(A37,"~","~~"),"*","~*"),"?","~?"),QueryData[Query ID],0)),IF(INDEX(QueryData[Judgement status],MATCH(SUBSTITUTE(SUBSTITUTE(SUBSTITUTE(A37,"~","~~"),"*","~*"),"?","~?"),QueryData[Query ID],0))&lt;&gt;"Judged",INDEX(QueryData[Judgement status],MATCH(SUBSTITUTE(SUBSTITUTE(SUBSTITUTE(A37,"~","~~"),"*","~*"),"?","~?"),QueryData[Query ID],0)),"Ready")))</x:f>
      </x:c>
      <x:c r="D37" s="11" t="str">
        <x:f>IF(A37="","",SUMIFS(RecordData[In A at k],RecordData[Query ID],"="&amp;SUBSTITUTE(SUBSTITUTE(SUBSTITUTE(A37,"~","~~"),"*","~*"),"?","~?")))</x:f>
      </x:c>
      <x:c r="E37" s="11" t="str">
        <x:f>IF(A37="","",SUMIFS(RecordData[In B at k],RecordData[Query ID],"="&amp;SUBSTITUTE(SUBSTITUTE(SUBSTITUTE(A37,"~","~~"),"*","~*"),"?","~?")))</x:f>
      </x:c>
      <x:c r="F37" s="11" t="str">
        <x:f>IF(C37&lt;&gt;"Ready","",SUMIFS(RecordData[Relevant A],RecordData[Query ID],"="&amp;SUBSTITUTE(SUBSTITUTE(SUBSTITUTE(A37,"~","~~"),"*","~*"),"?","~?")))</x:f>
      </x:c>
      <x:c r="G37" s="11" t="str">
        <x:f>IF(C37&lt;&gt;"Ready","",SUMIFS(RecordData[Relevant B],RecordData[Query ID],"="&amp;SUBSTITUTE(SUBSTITUTE(SUBSTITUTE(A37,"~","~~"),"*","~*"),"?","~?")))</x:f>
      </x:c>
      <x:c r="H37" s="11" t="str">
        <x:f>IF(A37="","",$B$4)</x:f>
      </x:c>
      <x:c r="I37" s="18" t="str">
        <x:f>IF(C37&lt;&gt;"Ready","",F37/H37)</x:f>
      </x:c>
      <x:c r="J37" s="18" t="str">
        <x:f>IF(C37&lt;&gt;"Ready","",G37/H37)</x:f>
      </x:c>
      <x:c r="K37" s="18" t="str">
        <x:f>IF(C37&lt;&gt;"Ready","",J37-I37)</x:f>
      </x:c>
      <x:c r="L37" s="11" t="str">
        <x:f>IF(A37="","",SUMIFS(RecordData[Seed total],RecordData[Query ID],"="&amp;SUBSTITUTE(SUBSTITUTE(SUBSTITUTE(A37,"~","~~"),"*","~*"),"?","~?")))</x:f>
      </x:c>
      <x:c r="M37" s="11" t="str">
        <x:f>IF(A37="","",IF(INDEX(QueryData[Capture status],MATCH(SUBSTITUTE(SUBSTITUTE(SUBSTITUTE(A37,"~","~~"),"*","~*"),"?","~?"),QueryData[Query ID],0))&lt;&gt;"Ready","",SUMIFS(RecordData[Seed A],RecordData[Query ID],"="&amp;SUBSTITUTE(SUBSTITUTE(SUBSTITUTE(A37,"~","~~"),"*","~*"),"?","~?"))))</x:f>
      </x:c>
      <x:c r="N37" s="11" t="str">
        <x:f>IF(A37="","",IF(INDEX(QueryData[Capture status],MATCH(SUBSTITUTE(SUBSTITUTE(SUBSTITUTE(A37,"~","~~"),"*","~*"),"?","~?"),QueryData[Query ID],0))&lt;&gt;"Ready","",SUMIFS(RecordData[Seed B],RecordData[Query ID],"="&amp;SUBSTITUTE(SUBSTITUTE(SUBSTITUTE(A37,"~","~~"),"*","~*"),"?","~?"))))</x:f>
      </x:c>
      <x:c r="O37" s="18" t="str">
        <x:f>IF(A37="","",IF(INDEX(QueryData[Capture status],MATCH(SUBSTITUTE(SUBSTITUTE(SUBSTITUTE(A37,"~","~~"),"*","~*"),"?","~?"),QueryData[Query ID],0))&lt;&gt;"Ready","",IF(L37=0,"No seeds specified",M37/L37)))</x:f>
      </x:c>
      <x:c r="P37" s="18" t="str">
        <x:f>IF(A37="","",IF(INDEX(QueryData[Capture status],MATCH(SUBSTITUTE(SUBSTITUTE(SUBSTITUTE(A37,"~","~~"),"*","~*"),"?","~?"),QueryData[Query ID],0))&lt;&gt;"Ready","",IF(L37=0,"No seeds specified",N37/L37)))</x:f>
      </x:c>
      <x:c r="Q37" s="18" t="str">
        <x:f>IF(A37="","",IF(OR(INDEX(QueryData[Capture status],MATCH(SUBSTITUTE(SUBSTITUTE(SUBSTITUTE(A37,"~","~~"),"*","~*"),"?","~?"),QueryData[Query ID],0))&lt;&gt;"Ready",L37=0),"",P37-O37))</x:f>
      </x:c>
    </x:row>
    <x:row r="38" ht="48" customHeight="1">
      <x:c r="A38" s="11" t="str">
        <x:f>IF(Queries!A38="","",Queries!A38)</x:f>
      </x:c>
      <x:c r="B38" s="13" t="str">
        <x:f>IF(A38="","",INDEX(QueryData[Probe],MATCH(SUBSTITUTE(SUBSTITUTE(SUBSTITUTE(A38,"~","~~"),"*","~*"),"?","~?"),QueryData[Query ID],0)))</x:f>
      </x:c>
      <x:c r="C38" s="13" t="str">
        <x:f>IF(A38="","",IF(INDEX(QueryData[Capture status],MATCH(SUBSTITUTE(SUBSTITUTE(SUBSTITUTE(A38,"~","~~"),"*","~*"),"?","~?"),QueryData[Query ID],0))&lt;&gt;"Ready",INDEX(QueryData[Capture status],MATCH(SUBSTITUTE(SUBSTITUTE(SUBSTITUTE(A38,"~","~~"),"*","~*"),"?","~?"),QueryData[Query ID],0)),IF(INDEX(QueryData[Judgement status],MATCH(SUBSTITUTE(SUBSTITUTE(SUBSTITUTE(A38,"~","~~"),"*","~*"),"?","~?"),QueryData[Query ID],0))&lt;&gt;"Judged",INDEX(QueryData[Judgement status],MATCH(SUBSTITUTE(SUBSTITUTE(SUBSTITUTE(A38,"~","~~"),"*","~*"),"?","~?"),QueryData[Query ID],0)),"Ready")))</x:f>
      </x:c>
      <x:c r="D38" s="11" t="str">
        <x:f>IF(A38="","",SUMIFS(RecordData[In A at k],RecordData[Query ID],"="&amp;SUBSTITUTE(SUBSTITUTE(SUBSTITUTE(A38,"~","~~"),"*","~*"),"?","~?")))</x:f>
      </x:c>
      <x:c r="E38" s="11" t="str">
        <x:f>IF(A38="","",SUMIFS(RecordData[In B at k],RecordData[Query ID],"="&amp;SUBSTITUTE(SUBSTITUTE(SUBSTITUTE(A38,"~","~~"),"*","~*"),"?","~?")))</x:f>
      </x:c>
      <x:c r="F38" s="11" t="str">
        <x:f>IF(C38&lt;&gt;"Ready","",SUMIFS(RecordData[Relevant A],RecordData[Query ID],"="&amp;SUBSTITUTE(SUBSTITUTE(SUBSTITUTE(A38,"~","~~"),"*","~*"),"?","~?")))</x:f>
      </x:c>
      <x:c r="G38" s="11" t="str">
        <x:f>IF(C38&lt;&gt;"Ready","",SUMIFS(RecordData[Relevant B],RecordData[Query ID],"="&amp;SUBSTITUTE(SUBSTITUTE(SUBSTITUTE(A38,"~","~~"),"*","~*"),"?","~?")))</x:f>
      </x:c>
      <x:c r="H38" s="11" t="str">
        <x:f>IF(A38="","",$B$4)</x:f>
      </x:c>
      <x:c r="I38" s="18" t="str">
        <x:f>IF(C38&lt;&gt;"Ready","",F38/H38)</x:f>
      </x:c>
      <x:c r="J38" s="18" t="str">
        <x:f>IF(C38&lt;&gt;"Ready","",G38/H38)</x:f>
      </x:c>
      <x:c r="K38" s="18" t="str">
        <x:f>IF(C38&lt;&gt;"Ready","",J38-I38)</x:f>
      </x:c>
      <x:c r="L38" s="11" t="str">
        <x:f>IF(A38="","",SUMIFS(RecordData[Seed total],RecordData[Query ID],"="&amp;SUBSTITUTE(SUBSTITUTE(SUBSTITUTE(A38,"~","~~"),"*","~*"),"?","~?")))</x:f>
      </x:c>
      <x:c r="M38" s="11" t="str">
        <x:f>IF(A38="","",IF(INDEX(QueryData[Capture status],MATCH(SUBSTITUTE(SUBSTITUTE(SUBSTITUTE(A38,"~","~~"),"*","~*"),"?","~?"),QueryData[Query ID],0))&lt;&gt;"Ready","",SUMIFS(RecordData[Seed A],RecordData[Query ID],"="&amp;SUBSTITUTE(SUBSTITUTE(SUBSTITUTE(A38,"~","~~"),"*","~*"),"?","~?"))))</x:f>
      </x:c>
      <x:c r="N38" s="11" t="str">
        <x:f>IF(A38="","",IF(INDEX(QueryData[Capture status],MATCH(SUBSTITUTE(SUBSTITUTE(SUBSTITUTE(A38,"~","~~"),"*","~*"),"?","~?"),QueryData[Query ID],0))&lt;&gt;"Ready","",SUMIFS(RecordData[Seed B],RecordData[Query ID],"="&amp;SUBSTITUTE(SUBSTITUTE(SUBSTITUTE(A38,"~","~~"),"*","~*"),"?","~?"))))</x:f>
      </x:c>
      <x:c r="O38" s="18" t="str">
        <x:f>IF(A38="","",IF(INDEX(QueryData[Capture status],MATCH(SUBSTITUTE(SUBSTITUTE(SUBSTITUTE(A38,"~","~~"),"*","~*"),"?","~?"),QueryData[Query ID],0))&lt;&gt;"Ready","",IF(L38=0,"No seeds specified",M38/L38)))</x:f>
      </x:c>
      <x:c r="P38" s="18" t="str">
        <x:f>IF(A38="","",IF(INDEX(QueryData[Capture status],MATCH(SUBSTITUTE(SUBSTITUTE(SUBSTITUTE(A38,"~","~~"),"*","~*"),"?","~?"),QueryData[Query ID],0))&lt;&gt;"Ready","",IF(L38=0,"No seeds specified",N38/L38)))</x:f>
      </x:c>
      <x:c r="Q38" s="18" t="str">
        <x:f>IF(A38="","",IF(OR(INDEX(QueryData[Capture status],MATCH(SUBSTITUTE(SUBSTITUTE(SUBSTITUTE(A38,"~","~~"),"*","~*"),"?","~?"),QueryData[Query ID],0))&lt;&gt;"Ready",L38=0),"",P38-O38))</x:f>
      </x:c>
    </x:row>
    <x:row r="39" ht="48" customHeight="1">
      <x:c r="A39" s="11" t="str">
        <x:f>IF(Queries!A39="","",Queries!A39)</x:f>
      </x:c>
      <x:c r="B39" s="13" t="str">
        <x:f>IF(A39="","",INDEX(QueryData[Probe],MATCH(SUBSTITUTE(SUBSTITUTE(SUBSTITUTE(A39,"~","~~"),"*","~*"),"?","~?"),QueryData[Query ID],0)))</x:f>
      </x:c>
      <x:c r="C39" s="13" t="str">
        <x:f>IF(A39="","",IF(INDEX(QueryData[Capture status],MATCH(SUBSTITUTE(SUBSTITUTE(SUBSTITUTE(A39,"~","~~"),"*","~*"),"?","~?"),QueryData[Query ID],0))&lt;&gt;"Ready",INDEX(QueryData[Capture status],MATCH(SUBSTITUTE(SUBSTITUTE(SUBSTITUTE(A39,"~","~~"),"*","~*"),"?","~?"),QueryData[Query ID],0)),IF(INDEX(QueryData[Judgement status],MATCH(SUBSTITUTE(SUBSTITUTE(SUBSTITUTE(A39,"~","~~"),"*","~*"),"?","~?"),QueryData[Query ID],0))&lt;&gt;"Judged",INDEX(QueryData[Judgement status],MATCH(SUBSTITUTE(SUBSTITUTE(SUBSTITUTE(A39,"~","~~"),"*","~*"),"?","~?"),QueryData[Query ID],0)),"Ready")))</x:f>
      </x:c>
      <x:c r="D39" s="11" t="str">
        <x:f>IF(A39="","",SUMIFS(RecordData[In A at k],RecordData[Query ID],"="&amp;SUBSTITUTE(SUBSTITUTE(SUBSTITUTE(A39,"~","~~"),"*","~*"),"?","~?")))</x:f>
      </x:c>
      <x:c r="E39" s="11" t="str">
        <x:f>IF(A39="","",SUMIFS(RecordData[In B at k],RecordData[Query ID],"="&amp;SUBSTITUTE(SUBSTITUTE(SUBSTITUTE(A39,"~","~~"),"*","~*"),"?","~?")))</x:f>
      </x:c>
      <x:c r="F39" s="11" t="str">
        <x:f>IF(C39&lt;&gt;"Ready","",SUMIFS(RecordData[Relevant A],RecordData[Query ID],"="&amp;SUBSTITUTE(SUBSTITUTE(SUBSTITUTE(A39,"~","~~"),"*","~*"),"?","~?")))</x:f>
      </x:c>
      <x:c r="G39" s="11" t="str">
        <x:f>IF(C39&lt;&gt;"Ready","",SUMIFS(RecordData[Relevant B],RecordData[Query ID],"="&amp;SUBSTITUTE(SUBSTITUTE(SUBSTITUTE(A39,"~","~~"),"*","~*"),"?","~?")))</x:f>
      </x:c>
      <x:c r="H39" s="11" t="str">
        <x:f>IF(A39="","",$B$4)</x:f>
      </x:c>
      <x:c r="I39" s="18" t="str">
        <x:f>IF(C39&lt;&gt;"Ready","",F39/H39)</x:f>
      </x:c>
      <x:c r="J39" s="18" t="str">
        <x:f>IF(C39&lt;&gt;"Ready","",G39/H39)</x:f>
      </x:c>
      <x:c r="K39" s="18" t="str">
        <x:f>IF(C39&lt;&gt;"Ready","",J39-I39)</x:f>
      </x:c>
      <x:c r="L39" s="11" t="str">
        <x:f>IF(A39="","",SUMIFS(RecordData[Seed total],RecordData[Query ID],"="&amp;SUBSTITUTE(SUBSTITUTE(SUBSTITUTE(A39,"~","~~"),"*","~*"),"?","~?")))</x:f>
      </x:c>
      <x:c r="M39" s="11" t="str">
        <x:f>IF(A39="","",IF(INDEX(QueryData[Capture status],MATCH(SUBSTITUTE(SUBSTITUTE(SUBSTITUTE(A39,"~","~~"),"*","~*"),"?","~?"),QueryData[Query ID],0))&lt;&gt;"Ready","",SUMIFS(RecordData[Seed A],RecordData[Query ID],"="&amp;SUBSTITUTE(SUBSTITUTE(SUBSTITUTE(A39,"~","~~"),"*","~*"),"?","~?"))))</x:f>
      </x:c>
      <x:c r="N39" s="11" t="str">
        <x:f>IF(A39="","",IF(INDEX(QueryData[Capture status],MATCH(SUBSTITUTE(SUBSTITUTE(SUBSTITUTE(A39,"~","~~"),"*","~*"),"?","~?"),QueryData[Query ID],0))&lt;&gt;"Ready","",SUMIFS(RecordData[Seed B],RecordData[Query ID],"="&amp;SUBSTITUTE(SUBSTITUTE(SUBSTITUTE(A39,"~","~~"),"*","~*"),"?","~?"))))</x:f>
      </x:c>
      <x:c r="O39" s="18" t="str">
        <x:f>IF(A39="","",IF(INDEX(QueryData[Capture status],MATCH(SUBSTITUTE(SUBSTITUTE(SUBSTITUTE(A39,"~","~~"),"*","~*"),"?","~?"),QueryData[Query ID],0))&lt;&gt;"Ready","",IF(L39=0,"No seeds specified",M39/L39)))</x:f>
      </x:c>
      <x:c r="P39" s="18" t="str">
        <x:f>IF(A39="","",IF(INDEX(QueryData[Capture status],MATCH(SUBSTITUTE(SUBSTITUTE(SUBSTITUTE(A39,"~","~~"),"*","~*"),"?","~?"),QueryData[Query ID],0))&lt;&gt;"Ready","",IF(L39=0,"No seeds specified",N39/L39)))</x:f>
      </x:c>
      <x:c r="Q39" s="18" t="str">
        <x:f>IF(A39="","",IF(OR(INDEX(QueryData[Capture status],MATCH(SUBSTITUTE(SUBSTITUTE(SUBSTITUTE(A39,"~","~~"),"*","~*"),"?","~?"),QueryData[Query ID],0))&lt;&gt;"Ready",L39=0),"",P39-O39))</x:f>
      </x:c>
    </x:row>
    <x:row r="40" ht="48" customHeight="1">
      <x:c r="A40" s="11" t="str">
        <x:f>IF(Queries!A40="","",Queries!A40)</x:f>
      </x:c>
      <x:c r="B40" s="13" t="str">
        <x:f>IF(A40="","",INDEX(QueryData[Probe],MATCH(SUBSTITUTE(SUBSTITUTE(SUBSTITUTE(A40,"~","~~"),"*","~*"),"?","~?"),QueryData[Query ID],0)))</x:f>
      </x:c>
      <x:c r="C40" s="13" t="str">
        <x:f>IF(A40="","",IF(INDEX(QueryData[Capture status],MATCH(SUBSTITUTE(SUBSTITUTE(SUBSTITUTE(A40,"~","~~"),"*","~*"),"?","~?"),QueryData[Query ID],0))&lt;&gt;"Ready",INDEX(QueryData[Capture status],MATCH(SUBSTITUTE(SUBSTITUTE(SUBSTITUTE(A40,"~","~~"),"*","~*"),"?","~?"),QueryData[Query ID],0)),IF(INDEX(QueryData[Judgement status],MATCH(SUBSTITUTE(SUBSTITUTE(SUBSTITUTE(A40,"~","~~"),"*","~*"),"?","~?"),QueryData[Query ID],0))&lt;&gt;"Judged",INDEX(QueryData[Judgement status],MATCH(SUBSTITUTE(SUBSTITUTE(SUBSTITUTE(A40,"~","~~"),"*","~*"),"?","~?"),QueryData[Query ID],0)),"Ready")))</x:f>
      </x:c>
      <x:c r="D40" s="11" t="str">
        <x:f>IF(A40="","",SUMIFS(RecordData[In A at k],RecordData[Query ID],"="&amp;SUBSTITUTE(SUBSTITUTE(SUBSTITUTE(A40,"~","~~"),"*","~*"),"?","~?")))</x:f>
      </x:c>
      <x:c r="E40" s="11" t="str">
        <x:f>IF(A40="","",SUMIFS(RecordData[In B at k],RecordData[Query ID],"="&amp;SUBSTITUTE(SUBSTITUTE(SUBSTITUTE(A40,"~","~~"),"*","~*"),"?","~?")))</x:f>
      </x:c>
      <x:c r="F40" s="11" t="str">
        <x:f>IF(C40&lt;&gt;"Ready","",SUMIFS(RecordData[Relevant A],RecordData[Query ID],"="&amp;SUBSTITUTE(SUBSTITUTE(SUBSTITUTE(A40,"~","~~"),"*","~*"),"?","~?")))</x:f>
      </x:c>
      <x:c r="G40" s="11" t="str">
        <x:f>IF(C40&lt;&gt;"Ready","",SUMIFS(RecordData[Relevant B],RecordData[Query ID],"="&amp;SUBSTITUTE(SUBSTITUTE(SUBSTITUTE(A40,"~","~~"),"*","~*"),"?","~?")))</x:f>
      </x:c>
      <x:c r="H40" s="11" t="str">
        <x:f>IF(A40="","",$B$4)</x:f>
      </x:c>
      <x:c r="I40" s="18" t="str">
        <x:f>IF(C40&lt;&gt;"Ready","",F40/H40)</x:f>
      </x:c>
      <x:c r="J40" s="18" t="str">
        <x:f>IF(C40&lt;&gt;"Ready","",G40/H40)</x:f>
      </x:c>
      <x:c r="K40" s="18" t="str">
        <x:f>IF(C40&lt;&gt;"Ready","",J40-I40)</x:f>
      </x:c>
      <x:c r="L40" s="11" t="str">
        <x:f>IF(A40="","",SUMIFS(RecordData[Seed total],RecordData[Query ID],"="&amp;SUBSTITUTE(SUBSTITUTE(SUBSTITUTE(A40,"~","~~"),"*","~*"),"?","~?")))</x:f>
      </x:c>
      <x:c r="M40" s="11" t="str">
        <x:f>IF(A40="","",IF(INDEX(QueryData[Capture status],MATCH(SUBSTITUTE(SUBSTITUTE(SUBSTITUTE(A40,"~","~~"),"*","~*"),"?","~?"),QueryData[Query ID],0))&lt;&gt;"Ready","",SUMIFS(RecordData[Seed A],RecordData[Query ID],"="&amp;SUBSTITUTE(SUBSTITUTE(SUBSTITUTE(A40,"~","~~"),"*","~*"),"?","~?"))))</x:f>
      </x:c>
      <x:c r="N40" s="11" t="str">
        <x:f>IF(A40="","",IF(INDEX(QueryData[Capture status],MATCH(SUBSTITUTE(SUBSTITUTE(SUBSTITUTE(A40,"~","~~"),"*","~*"),"?","~?"),QueryData[Query ID],0))&lt;&gt;"Ready","",SUMIFS(RecordData[Seed B],RecordData[Query ID],"="&amp;SUBSTITUTE(SUBSTITUTE(SUBSTITUTE(A40,"~","~~"),"*","~*"),"?","~?"))))</x:f>
      </x:c>
      <x:c r="O40" s="18" t="str">
        <x:f>IF(A40="","",IF(INDEX(QueryData[Capture status],MATCH(SUBSTITUTE(SUBSTITUTE(SUBSTITUTE(A40,"~","~~"),"*","~*"),"?","~?"),QueryData[Query ID],0))&lt;&gt;"Ready","",IF(L40=0,"No seeds specified",M40/L40)))</x:f>
      </x:c>
      <x:c r="P40" s="18" t="str">
        <x:f>IF(A40="","",IF(INDEX(QueryData[Capture status],MATCH(SUBSTITUTE(SUBSTITUTE(SUBSTITUTE(A40,"~","~~"),"*","~*"),"?","~?"),QueryData[Query ID],0))&lt;&gt;"Ready","",IF(L40=0,"No seeds specified",N40/L40)))</x:f>
      </x:c>
      <x:c r="Q40" s="18" t="str">
        <x:f>IF(A40="","",IF(OR(INDEX(QueryData[Capture status],MATCH(SUBSTITUTE(SUBSTITUTE(SUBSTITUTE(A40,"~","~~"),"*","~*"),"?","~?"),QueryData[Query ID],0))&lt;&gt;"Ready",L40=0),"",P40-O40))</x:f>
      </x:c>
    </x:row>
    <x:row r="41" ht="48" customHeight="1">
      <x:c r="A41" s="11" t="str">
        <x:f>IF(Queries!A41="","",Queries!A41)</x:f>
      </x:c>
      <x:c r="B41" s="13" t="str">
        <x:f>IF(A41="","",INDEX(QueryData[Probe],MATCH(SUBSTITUTE(SUBSTITUTE(SUBSTITUTE(A41,"~","~~"),"*","~*"),"?","~?"),QueryData[Query ID],0)))</x:f>
      </x:c>
      <x:c r="C41" s="13" t="str">
        <x:f>IF(A41="","",IF(INDEX(QueryData[Capture status],MATCH(SUBSTITUTE(SUBSTITUTE(SUBSTITUTE(A41,"~","~~"),"*","~*"),"?","~?"),QueryData[Query ID],0))&lt;&gt;"Ready",INDEX(QueryData[Capture status],MATCH(SUBSTITUTE(SUBSTITUTE(SUBSTITUTE(A41,"~","~~"),"*","~*"),"?","~?"),QueryData[Query ID],0)),IF(INDEX(QueryData[Judgement status],MATCH(SUBSTITUTE(SUBSTITUTE(SUBSTITUTE(A41,"~","~~"),"*","~*"),"?","~?"),QueryData[Query ID],0))&lt;&gt;"Judged",INDEX(QueryData[Judgement status],MATCH(SUBSTITUTE(SUBSTITUTE(SUBSTITUTE(A41,"~","~~"),"*","~*"),"?","~?"),QueryData[Query ID],0)),"Ready")))</x:f>
      </x:c>
      <x:c r="D41" s="11" t="str">
        <x:f>IF(A41="","",SUMIFS(RecordData[In A at k],RecordData[Query ID],"="&amp;SUBSTITUTE(SUBSTITUTE(SUBSTITUTE(A41,"~","~~"),"*","~*"),"?","~?")))</x:f>
      </x:c>
      <x:c r="E41" s="11" t="str">
        <x:f>IF(A41="","",SUMIFS(RecordData[In B at k],RecordData[Query ID],"="&amp;SUBSTITUTE(SUBSTITUTE(SUBSTITUTE(A41,"~","~~"),"*","~*"),"?","~?")))</x:f>
      </x:c>
      <x:c r="F41" s="11" t="str">
        <x:f>IF(C41&lt;&gt;"Ready","",SUMIFS(RecordData[Relevant A],RecordData[Query ID],"="&amp;SUBSTITUTE(SUBSTITUTE(SUBSTITUTE(A41,"~","~~"),"*","~*"),"?","~?")))</x:f>
      </x:c>
      <x:c r="G41" s="11" t="str">
        <x:f>IF(C41&lt;&gt;"Ready","",SUMIFS(RecordData[Relevant B],RecordData[Query ID],"="&amp;SUBSTITUTE(SUBSTITUTE(SUBSTITUTE(A41,"~","~~"),"*","~*"),"?","~?")))</x:f>
      </x:c>
      <x:c r="H41" s="11" t="str">
        <x:f>IF(A41="","",$B$4)</x:f>
      </x:c>
      <x:c r="I41" s="18" t="str">
        <x:f>IF(C41&lt;&gt;"Ready","",F41/H41)</x:f>
      </x:c>
      <x:c r="J41" s="18" t="str">
        <x:f>IF(C41&lt;&gt;"Ready","",G41/H41)</x:f>
      </x:c>
      <x:c r="K41" s="18" t="str">
        <x:f>IF(C41&lt;&gt;"Ready","",J41-I41)</x:f>
      </x:c>
      <x:c r="L41" s="11" t="str">
        <x:f>IF(A41="","",SUMIFS(RecordData[Seed total],RecordData[Query ID],"="&amp;SUBSTITUTE(SUBSTITUTE(SUBSTITUTE(A41,"~","~~"),"*","~*"),"?","~?")))</x:f>
      </x:c>
      <x:c r="M41" s="11" t="str">
        <x:f>IF(A41="","",IF(INDEX(QueryData[Capture status],MATCH(SUBSTITUTE(SUBSTITUTE(SUBSTITUTE(A41,"~","~~"),"*","~*"),"?","~?"),QueryData[Query ID],0))&lt;&gt;"Ready","",SUMIFS(RecordData[Seed A],RecordData[Query ID],"="&amp;SUBSTITUTE(SUBSTITUTE(SUBSTITUTE(A41,"~","~~"),"*","~*"),"?","~?"))))</x:f>
      </x:c>
      <x:c r="N41" s="11" t="str">
        <x:f>IF(A41="","",IF(INDEX(QueryData[Capture status],MATCH(SUBSTITUTE(SUBSTITUTE(SUBSTITUTE(A41,"~","~~"),"*","~*"),"?","~?"),QueryData[Query ID],0))&lt;&gt;"Ready","",SUMIFS(RecordData[Seed B],RecordData[Query ID],"="&amp;SUBSTITUTE(SUBSTITUTE(SUBSTITUTE(A41,"~","~~"),"*","~*"),"?","~?"))))</x:f>
      </x:c>
      <x:c r="O41" s="18" t="str">
        <x:f>IF(A41="","",IF(INDEX(QueryData[Capture status],MATCH(SUBSTITUTE(SUBSTITUTE(SUBSTITUTE(A41,"~","~~"),"*","~*"),"?","~?"),QueryData[Query ID],0))&lt;&gt;"Ready","",IF(L41=0,"No seeds specified",M41/L41)))</x:f>
      </x:c>
      <x:c r="P41" s="18" t="str">
        <x:f>IF(A41="","",IF(INDEX(QueryData[Capture status],MATCH(SUBSTITUTE(SUBSTITUTE(SUBSTITUTE(A41,"~","~~"),"*","~*"),"?","~?"),QueryData[Query ID],0))&lt;&gt;"Ready","",IF(L41=0,"No seeds specified",N41/L41)))</x:f>
      </x:c>
      <x:c r="Q41" s="18" t="str">
        <x:f>IF(A41="","",IF(OR(INDEX(QueryData[Capture status],MATCH(SUBSTITUTE(SUBSTITUTE(SUBSTITUTE(A41,"~","~~"),"*","~*"),"?","~?"),QueryData[Query ID],0))&lt;&gt;"Ready",L41=0),"",P41-O41))</x:f>
      </x:c>
    </x:row>
    <x:row r="42" ht="48" customHeight="1">
      <x:c r="A42" s="11" t="str">
        <x:f>IF(Queries!A42="","",Queries!A42)</x:f>
      </x:c>
      <x:c r="B42" s="13" t="str">
        <x:f>IF(A42="","",INDEX(QueryData[Probe],MATCH(SUBSTITUTE(SUBSTITUTE(SUBSTITUTE(A42,"~","~~"),"*","~*"),"?","~?"),QueryData[Query ID],0)))</x:f>
      </x:c>
      <x:c r="C42" s="13" t="str">
        <x:f>IF(A42="","",IF(INDEX(QueryData[Capture status],MATCH(SUBSTITUTE(SUBSTITUTE(SUBSTITUTE(A42,"~","~~"),"*","~*"),"?","~?"),QueryData[Query ID],0))&lt;&gt;"Ready",INDEX(QueryData[Capture status],MATCH(SUBSTITUTE(SUBSTITUTE(SUBSTITUTE(A42,"~","~~"),"*","~*"),"?","~?"),QueryData[Query ID],0)),IF(INDEX(QueryData[Judgement status],MATCH(SUBSTITUTE(SUBSTITUTE(SUBSTITUTE(A42,"~","~~"),"*","~*"),"?","~?"),QueryData[Query ID],0))&lt;&gt;"Judged",INDEX(QueryData[Judgement status],MATCH(SUBSTITUTE(SUBSTITUTE(SUBSTITUTE(A42,"~","~~"),"*","~*"),"?","~?"),QueryData[Query ID],0)),"Ready")))</x:f>
      </x:c>
      <x:c r="D42" s="11" t="str">
        <x:f>IF(A42="","",SUMIFS(RecordData[In A at k],RecordData[Query ID],"="&amp;SUBSTITUTE(SUBSTITUTE(SUBSTITUTE(A42,"~","~~"),"*","~*"),"?","~?")))</x:f>
      </x:c>
      <x:c r="E42" s="11" t="str">
        <x:f>IF(A42="","",SUMIFS(RecordData[In B at k],RecordData[Query ID],"="&amp;SUBSTITUTE(SUBSTITUTE(SUBSTITUTE(A42,"~","~~"),"*","~*"),"?","~?")))</x:f>
      </x:c>
      <x:c r="F42" s="11" t="str">
        <x:f>IF(C42&lt;&gt;"Ready","",SUMIFS(RecordData[Relevant A],RecordData[Query ID],"="&amp;SUBSTITUTE(SUBSTITUTE(SUBSTITUTE(A42,"~","~~"),"*","~*"),"?","~?")))</x:f>
      </x:c>
      <x:c r="G42" s="11" t="str">
        <x:f>IF(C42&lt;&gt;"Ready","",SUMIFS(RecordData[Relevant B],RecordData[Query ID],"="&amp;SUBSTITUTE(SUBSTITUTE(SUBSTITUTE(A42,"~","~~"),"*","~*"),"?","~?")))</x:f>
      </x:c>
      <x:c r="H42" s="11" t="str">
        <x:f>IF(A42="","",$B$4)</x:f>
      </x:c>
      <x:c r="I42" s="18" t="str">
        <x:f>IF(C42&lt;&gt;"Ready","",F42/H42)</x:f>
      </x:c>
      <x:c r="J42" s="18" t="str">
        <x:f>IF(C42&lt;&gt;"Ready","",G42/H42)</x:f>
      </x:c>
      <x:c r="K42" s="18" t="str">
        <x:f>IF(C42&lt;&gt;"Ready","",J42-I42)</x:f>
      </x:c>
      <x:c r="L42" s="11" t="str">
        <x:f>IF(A42="","",SUMIFS(RecordData[Seed total],RecordData[Query ID],"="&amp;SUBSTITUTE(SUBSTITUTE(SUBSTITUTE(A42,"~","~~"),"*","~*"),"?","~?")))</x:f>
      </x:c>
      <x:c r="M42" s="11" t="str">
        <x:f>IF(A42="","",IF(INDEX(QueryData[Capture status],MATCH(SUBSTITUTE(SUBSTITUTE(SUBSTITUTE(A42,"~","~~"),"*","~*"),"?","~?"),QueryData[Query ID],0))&lt;&gt;"Ready","",SUMIFS(RecordData[Seed A],RecordData[Query ID],"="&amp;SUBSTITUTE(SUBSTITUTE(SUBSTITUTE(A42,"~","~~"),"*","~*"),"?","~?"))))</x:f>
      </x:c>
      <x:c r="N42" s="11" t="str">
        <x:f>IF(A42="","",IF(INDEX(QueryData[Capture status],MATCH(SUBSTITUTE(SUBSTITUTE(SUBSTITUTE(A42,"~","~~"),"*","~*"),"?","~?"),QueryData[Query ID],0))&lt;&gt;"Ready","",SUMIFS(RecordData[Seed B],RecordData[Query ID],"="&amp;SUBSTITUTE(SUBSTITUTE(SUBSTITUTE(A42,"~","~~"),"*","~*"),"?","~?"))))</x:f>
      </x:c>
      <x:c r="O42" s="18" t="str">
        <x:f>IF(A42="","",IF(INDEX(QueryData[Capture status],MATCH(SUBSTITUTE(SUBSTITUTE(SUBSTITUTE(A42,"~","~~"),"*","~*"),"?","~?"),QueryData[Query ID],0))&lt;&gt;"Ready","",IF(L42=0,"No seeds specified",M42/L42)))</x:f>
      </x:c>
      <x:c r="P42" s="18" t="str">
        <x:f>IF(A42="","",IF(INDEX(QueryData[Capture status],MATCH(SUBSTITUTE(SUBSTITUTE(SUBSTITUTE(A42,"~","~~"),"*","~*"),"?","~?"),QueryData[Query ID],0))&lt;&gt;"Ready","",IF(L42=0,"No seeds specified",N42/L42)))</x:f>
      </x:c>
      <x:c r="Q42" s="18" t="str">
        <x:f>IF(A42="","",IF(OR(INDEX(QueryData[Capture status],MATCH(SUBSTITUTE(SUBSTITUTE(SUBSTITUTE(A42,"~","~~"),"*","~*"),"?","~?"),QueryData[Query ID],0))&lt;&gt;"Ready",L42=0),"",P42-O42))</x:f>
      </x:c>
    </x:row>
    <x:row r="43" ht="48" customHeight="1">
      <x:c r="A43" s="11" t="str">
        <x:f>IF(Queries!A43="","",Queries!A43)</x:f>
      </x:c>
      <x:c r="B43" s="13" t="str">
        <x:f>IF(A43="","",INDEX(QueryData[Probe],MATCH(SUBSTITUTE(SUBSTITUTE(SUBSTITUTE(A43,"~","~~"),"*","~*"),"?","~?"),QueryData[Query ID],0)))</x:f>
      </x:c>
      <x:c r="C43" s="13" t="str">
        <x:f>IF(A43="","",IF(INDEX(QueryData[Capture status],MATCH(SUBSTITUTE(SUBSTITUTE(SUBSTITUTE(A43,"~","~~"),"*","~*"),"?","~?"),QueryData[Query ID],0))&lt;&gt;"Ready",INDEX(QueryData[Capture status],MATCH(SUBSTITUTE(SUBSTITUTE(SUBSTITUTE(A43,"~","~~"),"*","~*"),"?","~?"),QueryData[Query ID],0)),IF(INDEX(QueryData[Judgement status],MATCH(SUBSTITUTE(SUBSTITUTE(SUBSTITUTE(A43,"~","~~"),"*","~*"),"?","~?"),QueryData[Query ID],0))&lt;&gt;"Judged",INDEX(QueryData[Judgement status],MATCH(SUBSTITUTE(SUBSTITUTE(SUBSTITUTE(A43,"~","~~"),"*","~*"),"?","~?"),QueryData[Query ID],0)),"Ready")))</x:f>
      </x:c>
      <x:c r="D43" s="11" t="str">
        <x:f>IF(A43="","",SUMIFS(RecordData[In A at k],RecordData[Query ID],"="&amp;SUBSTITUTE(SUBSTITUTE(SUBSTITUTE(A43,"~","~~"),"*","~*"),"?","~?")))</x:f>
      </x:c>
      <x:c r="E43" s="11" t="str">
        <x:f>IF(A43="","",SUMIFS(RecordData[In B at k],RecordData[Query ID],"="&amp;SUBSTITUTE(SUBSTITUTE(SUBSTITUTE(A43,"~","~~"),"*","~*"),"?","~?")))</x:f>
      </x:c>
      <x:c r="F43" s="11" t="str">
        <x:f>IF(C43&lt;&gt;"Ready","",SUMIFS(RecordData[Relevant A],RecordData[Query ID],"="&amp;SUBSTITUTE(SUBSTITUTE(SUBSTITUTE(A43,"~","~~"),"*","~*"),"?","~?")))</x:f>
      </x:c>
      <x:c r="G43" s="11" t="str">
        <x:f>IF(C43&lt;&gt;"Ready","",SUMIFS(RecordData[Relevant B],RecordData[Query ID],"="&amp;SUBSTITUTE(SUBSTITUTE(SUBSTITUTE(A43,"~","~~"),"*","~*"),"?","~?")))</x:f>
      </x:c>
      <x:c r="H43" s="11" t="str">
        <x:f>IF(A43="","",$B$4)</x:f>
      </x:c>
      <x:c r="I43" s="18" t="str">
        <x:f>IF(C43&lt;&gt;"Ready","",F43/H43)</x:f>
      </x:c>
      <x:c r="J43" s="18" t="str">
        <x:f>IF(C43&lt;&gt;"Ready","",G43/H43)</x:f>
      </x:c>
      <x:c r="K43" s="18" t="str">
        <x:f>IF(C43&lt;&gt;"Ready","",J43-I43)</x:f>
      </x:c>
      <x:c r="L43" s="11" t="str">
        <x:f>IF(A43="","",SUMIFS(RecordData[Seed total],RecordData[Query ID],"="&amp;SUBSTITUTE(SUBSTITUTE(SUBSTITUTE(A43,"~","~~"),"*","~*"),"?","~?")))</x:f>
      </x:c>
      <x:c r="M43" s="11" t="str">
        <x:f>IF(A43="","",IF(INDEX(QueryData[Capture status],MATCH(SUBSTITUTE(SUBSTITUTE(SUBSTITUTE(A43,"~","~~"),"*","~*"),"?","~?"),QueryData[Query ID],0))&lt;&gt;"Ready","",SUMIFS(RecordData[Seed A],RecordData[Query ID],"="&amp;SUBSTITUTE(SUBSTITUTE(SUBSTITUTE(A43,"~","~~"),"*","~*"),"?","~?"))))</x:f>
      </x:c>
      <x:c r="N43" s="11" t="str">
        <x:f>IF(A43="","",IF(INDEX(QueryData[Capture status],MATCH(SUBSTITUTE(SUBSTITUTE(SUBSTITUTE(A43,"~","~~"),"*","~*"),"?","~?"),QueryData[Query ID],0))&lt;&gt;"Ready","",SUMIFS(RecordData[Seed B],RecordData[Query ID],"="&amp;SUBSTITUTE(SUBSTITUTE(SUBSTITUTE(A43,"~","~~"),"*","~*"),"?","~?"))))</x:f>
      </x:c>
      <x:c r="O43" s="18" t="str">
        <x:f>IF(A43="","",IF(INDEX(QueryData[Capture status],MATCH(SUBSTITUTE(SUBSTITUTE(SUBSTITUTE(A43,"~","~~"),"*","~*"),"?","~?"),QueryData[Query ID],0))&lt;&gt;"Ready","",IF(L43=0,"No seeds specified",M43/L43)))</x:f>
      </x:c>
      <x:c r="P43" s="18" t="str">
        <x:f>IF(A43="","",IF(INDEX(QueryData[Capture status],MATCH(SUBSTITUTE(SUBSTITUTE(SUBSTITUTE(A43,"~","~~"),"*","~*"),"?","~?"),QueryData[Query ID],0))&lt;&gt;"Ready","",IF(L43=0,"No seeds specified",N43/L43)))</x:f>
      </x:c>
      <x:c r="Q43" s="18" t="str">
        <x:f>IF(A43="","",IF(OR(INDEX(QueryData[Capture status],MATCH(SUBSTITUTE(SUBSTITUTE(SUBSTITUTE(A43,"~","~~"),"*","~*"),"?","~?"),QueryData[Query ID],0))&lt;&gt;"Ready",L43=0),"",P43-O43))</x:f>
      </x:c>
    </x:row>
    <x:row r="44" ht="48" customHeight="1">
      <x:c r="A44" s="11" t="str">
        <x:f>IF(Queries!A44="","",Queries!A44)</x:f>
      </x:c>
      <x:c r="B44" s="13" t="str">
        <x:f>IF(A44="","",INDEX(QueryData[Probe],MATCH(SUBSTITUTE(SUBSTITUTE(SUBSTITUTE(A44,"~","~~"),"*","~*"),"?","~?"),QueryData[Query ID],0)))</x:f>
      </x:c>
      <x:c r="C44" s="13" t="str">
        <x:f>IF(A44="","",IF(INDEX(QueryData[Capture status],MATCH(SUBSTITUTE(SUBSTITUTE(SUBSTITUTE(A44,"~","~~"),"*","~*"),"?","~?"),QueryData[Query ID],0))&lt;&gt;"Ready",INDEX(QueryData[Capture status],MATCH(SUBSTITUTE(SUBSTITUTE(SUBSTITUTE(A44,"~","~~"),"*","~*"),"?","~?"),QueryData[Query ID],0)),IF(INDEX(QueryData[Judgement status],MATCH(SUBSTITUTE(SUBSTITUTE(SUBSTITUTE(A44,"~","~~"),"*","~*"),"?","~?"),QueryData[Query ID],0))&lt;&gt;"Judged",INDEX(QueryData[Judgement status],MATCH(SUBSTITUTE(SUBSTITUTE(SUBSTITUTE(A44,"~","~~"),"*","~*"),"?","~?"),QueryData[Query ID],0)),"Ready")))</x:f>
      </x:c>
      <x:c r="D44" s="11" t="str">
        <x:f>IF(A44="","",SUMIFS(RecordData[In A at k],RecordData[Query ID],"="&amp;SUBSTITUTE(SUBSTITUTE(SUBSTITUTE(A44,"~","~~"),"*","~*"),"?","~?")))</x:f>
      </x:c>
      <x:c r="E44" s="11" t="str">
        <x:f>IF(A44="","",SUMIFS(RecordData[In B at k],RecordData[Query ID],"="&amp;SUBSTITUTE(SUBSTITUTE(SUBSTITUTE(A44,"~","~~"),"*","~*"),"?","~?")))</x:f>
      </x:c>
      <x:c r="F44" s="11" t="str">
        <x:f>IF(C44&lt;&gt;"Ready","",SUMIFS(RecordData[Relevant A],RecordData[Query ID],"="&amp;SUBSTITUTE(SUBSTITUTE(SUBSTITUTE(A44,"~","~~"),"*","~*"),"?","~?")))</x:f>
      </x:c>
      <x:c r="G44" s="11" t="str">
        <x:f>IF(C44&lt;&gt;"Ready","",SUMIFS(RecordData[Relevant B],RecordData[Query ID],"="&amp;SUBSTITUTE(SUBSTITUTE(SUBSTITUTE(A44,"~","~~"),"*","~*"),"?","~?")))</x:f>
      </x:c>
      <x:c r="H44" s="11" t="str">
        <x:f>IF(A44="","",$B$4)</x:f>
      </x:c>
      <x:c r="I44" s="18" t="str">
        <x:f>IF(C44&lt;&gt;"Ready","",F44/H44)</x:f>
      </x:c>
      <x:c r="J44" s="18" t="str">
        <x:f>IF(C44&lt;&gt;"Ready","",G44/H44)</x:f>
      </x:c>
      <x:c r="K44" s="18" t="str">
        <x:f>IF(C44&lt;&gt;"Ready","",J44-I44)</x:f>
      </x:c>
      <x:c r="L44" s="11" t="str">
        <x:f>IF(A44="","",SUMIFS(RecordData[Seed total],RecordData[Query ID],"="&amp;SUBSTITUTE(SUBSTITUTE(SUBSTITUTE(A44,"~","~~"),"*","~*"),"?","~?")))</x:f>
      </x:c>
      <x:c r="M44" s="11" t="str">
        <x:f>IF(A44="","",IF(INDEX(QueryData[Capture status],MATCH(SUBSTITUTE(SUBSTITUTE(SUBSTITUTE(A44,"~","~~"),"*","~*"),"?","~?"),QueryData[Query ID],0))&lt;&gt;"Ready","",SUMIFS(RecordData[Seed A],RecordData[Query ID],"="&amp;SUBSTITUTE(SUBSTITUTE(SUBSTITUTE(A44,"~","~~"),"*","~*"),"?","~?"))))</x:f>
      </x:c>
      <x:c r="N44" s="11" t="str">
        <x:f>IF(A44="","",IF(INDEX(QueryData[Capture status],MATCH(SUBSTITUTE(SUBSTITUTE(SUBSTITUTE(A44,"~","~~"),"*","~*"),"?","~?"),QueryData[Query ID],0))&lt;&gt;"Ready","",SUMIFS(RecordData[Seed B],RecordData[Query ID],"="&amp;SUBSTITUTE(SUBSTITUTE(SUBSTITUTE(A44,"~","~~"),"*","~*"),"?","~?"))))</x:f>
      </x:c>
      <x:c r="O44" s="18" t="str">
        <x:f>IF(A44="","",IF(INDEX(QueryData[Capture status],MATCH(SUBSTITUTE(SUBSTITUTE(SUBSTITUTE(A44,"~","~~"),"*","~*"),"?","~?"),QueryData[Query ID],0))&lt;&gt;"Ready","",IF(L44=0,"No seeds specified",M44/L44)))</x:f>
      </x:c>
      <x:c r="P44" s="18" t="str">
        <x:f>IF(A44="","",IF(INDEX(QueryData[Capture status],MATCH(SUBSTITUTE(SUBSTITUTE(SUBSTITUTE(A44,"~","~~"),"*","~*"),"?","~?"),QueryData[Query ID],0))&lt;&gt;"Ready","",IF(L44=0,"No seeds specified",N44/L44)))</x:f>
      </x:c>
      <x:c r="Q44" s="18" t="str">
        <x:f>IF(A44="","",IF(OR(INDEX(QueryData[Capture status],MATCH(SUBSTITUTE(SUBSTITUTE(SUBSTITUTE(A44,"~","~~"),"*","~*"),"?","~?"),QueryData[Query ID],0))&lt;&gt;"Ready",L44=0),"",P44-O44))</x:f>
      </x:c>
    </x:row>
    <x:row r="45" ht="48" customHeight="1">
      <x:c r="A45" s="11" t="str">
        <x:f>IF(Queries!A45="","",Queries!A45)</x:f>
      </x:c>
      <x:c r="B45" s="13" t="str">
        <x:f>IF(A45="","",INDEX(QueryData[Probe],MATCH(SUBSTITUTE(SUBSTITUTE(SUBSTITUTE(A45,"~","~~"),"*","~*"),"?","~?"),QueryData[Query ID],0)))</x:f>
      </x:c>
      <x:c r="C45" s="13" t="str">
        <x:f>IF(A45="","",IF(INDEX(QueryData[Capture status],MATCH(SUBSTITUTE(SUBSTITUTE(SUBSTITUTE(A45,"~","~~"),"*","~*"),"?","~?"),QueryData[Query ID],0))&lt;&gt;"Ready",INDEX(QueryData[Capture status],MATCH(SUBSTITUTE(SUBSTITUTE(SUBSTITUTE(A45,"~","~~"),"*","~*"),"?","~?"),QueryData[Query ID],0)),IF(INDEX(QueryData[Judgement status],MATCH(SUBSTITUTE(SUBSTITUTE(SUBSTITUTE(A45,"~","~~"),"*","~*"),"?","~?"),QueryData[Query ID],0))&lt;&gt;"Judged",INDEX(QueryData[Judgement status],MATCH(SUBSTITUTE(SUBSTITUTE(SUBSTITUTE(A45,"~","~~"),"*","~*"),"?","~?"),QueryData[Query ID],0)),"Ready")))</x:f>
      </x:c>
      <x:c r="D45" s="11" t="str">
        <x:f>IF(A45="","",SUMIFS(RecordData[In A at k],RecordData[Query ID],"="&amp;SUBSTITUTE(SUBSTITUTE(SUBSTITUTE(A45,"~","~~"),"*","~*"),"?","~?")))</x:f>
      </x:c>
      <x:c r="E45" s="11" t="str">
        <x:f>IF(A45="","",SUMIFS(RecordData[In B at k],RecordData[Query ID],"="&amp;SUBSTITUTE(SUBSTITUTE(SUBSTITUTE(A45,"~","~~"),"*","~*"),"?","~?")))</x:f>
      </x:c>
      <x:c r="F45" s="11" t="str">
        <x:f>IF(C45&lt;&gt;"Ready","",SUMIFS(RecordData[Relevant A],RecordData[Query ID],"="&amp;SUBSTITUTE(SUBSTITUTE(SUBSTITUTE(A45,"~","~~"),"*","~*"),"?","~?")))</x:f>
      </x:c>
      <x:c r="G45" s="11" t="str">
        <x:f>IF(C45&lt;&gt;"Ready","",SUMIFS(RecordData[Relevant B],RecordData[Query ID],"="&amp;SUBSTITUTE(SUBSTITUTE(SUBSTITUTE(A45,"~","~~"),"*","~*"),"?","~?")))</x:f>
      </x:c>
      <x:c r="H45" s="11" t="str">
        <x:f>IF(A45="","",$B$4)</x:f>
      </x:c>
      <x:c r="I45" s="18" t="str">
        <x:f>IF(C45&lt;&gt;"Ready","",F45/H45)</x:f>
      </x:c>
      <x:c r="J45" s="18" t="str">
        <x:f>IF(C45&lt;&gt;"Ready","",G45/H45)</x:f>
      </x:c>
      <x:c r="K45" s="18" t="str">
        <x:f>IF(C45&lt;&gt;"Ready","",J45-I45)</x:f>
      </x:c>
      <x:c r="L45" s="11" t="str">
        <x:f>IF(A45="","",SUMIFS(RecordData[Seed total],RecordData[Query ID],"="&amp;SUBSTITUTE(SUBSTITUTE(SUBSTITUTE(A45,"~","~~"),"*","~*"),"?","~?")))</x:f>
      </x:c>
      <x:c r="M45" s="11" t="str">
        <x:f>IF(A45="","",IF(INDEX(QueryData[Capture status],MATCH(SUBSTITUTE(SUBSTITUTE(SUBSTITUTE(A45,"~","~~"),"*","~*"),"?","~?"),QueryData[Query ID],0))&lt;&gt;"Ready","",SUMIFS(RecordData[Seed A],RecordData[Query ID],"="&amp;SUBSTITUTE(SUBSTITUTE(SUBSTITUTE(A45,"~","~~"),"*","~*"),"?","~?"))))</x:f>
      </x:c>
      <x:c r="N45" s="11" t="str">
        <x:f>IF(A45="","",IF(INDEX(QueryData[Capture status],MATCH(SUBSTITUTE(SUBSTITUTE(SUBSTITUTE(A45,"~","~~"),"*","~*"),"?","~?"),QueryData[Query ID],0))&lt;&gt;"Ready","",SUMIFS(RecordData[Seed B],RecordData[Query ID],"="&amp;SUBSTITUTE(SUBSTITUTE(SUBSTITUTE(A45,"~","~~"),"*","~*"),"?","~?"))))</x:f>
      </x:c>
      <x:c r="O45" s="18" t="str">
        <x:f>IF(A45="","",IF(INDEX(QueryData[Capture status],MATCH(SUBSTITUTE(SUBSTITUTE(SUBSTITUTE(A45,"~","~~"),"*","~*"),"?","~?"),QueryData[Query ID],0))&lt;&gt;"Ready","",IF(L45=0,"No seeds specified",M45/L45)))</x:f>
      </x:c>
      <x:c r="P45" s="18" t="str">
        <x:f>IF(A45="","",IF(INDEX(QueryData[Capture status],MATCH(SUBSTITUTE(SUBSTITUTE(SUBSTITUTE(A45,"~","~~"),"*","~*"),"?","~?"),QueryData[Query ID],0))&lt;&gt;"Ready","",IF(L45=0,"No seeds specified",N45/L45)))</x:f>
      </x:c>
      <x:c r="Q45" s="18" t="str">
        <x:f>IF(A45="","",IF(OR(INDEX(QueryData[Capture status],MATCH(SUBSTITUTE(SUBSTITUTE(SUBSTITUTE(A45,"~","~~"),"*","~*"),"?","~?"),QueryData[Query ID],0))&lt;&gt;"Ready",L45=0),"",P45-O45))</x:f>
      </x:c>
    </x:row>
    <x:row r="46" ht="48" customHeight="1">
      <x:c r="A46" s="11" t="str">
        <x:f>IF(Queries!A46="","",Queries!A46)</x:f>
      </x:c>
      <x:c r="B46" s="13" t="str">
        <x:f>IF(A46="","",INDEX(QueryData[Probe],MATCH(SUBSTITUTE(SUBSTITUTE(SUBSTITUTE(A46,"~","~~"),"*","~*"),"?","~?"),QueryData[Query ID],0)))</x:f>
      </x:c>
      <x:c r="C46" s="13" t="str">
        <x:f>IF(A46="","",IF(INDEX(QueryData[Capture status],MATCH(SUBSTITUTE(SUBSTITUTE(SUBSTITUTE(A46,"~","~~"),"*","~*"),"?","~?"),QueryData[Query ID],0))&lt;&gt;"Ready",INDEX(QueryData[Capture status],MATCH(SUBSTITUTE(SUBSTITUTE(SUBSTITUTE(A46,"~","~~"),"*","~*"),"?","~?"),QueryData[Query ID],0)),IF(INDEX(QueryData[Judgement status],MATCH(SUBSTITUTE(SUBSTITUTE(SUBSTITUTE(A46,"~","~~"),"*","~*"),"?","~?"),QueryData[Query ID],0))&lt;&gt;"Judged",INDEX(QueryData[Judgement status],MATCH(SUBSTITUTE(SUBSTITUTE(SUBSTITUTE(A46,"~","~~"),"*","~*"),"?","~?"),QueryData[Query ID],0)),"Ready")))</x:f>
      </x:c>
      <x:c r="D46" s="11" t="str">
        <x:f>IF(A46="","",SUMIFS(RecordData[In A at k],RecordData[Query ID],"="&amp;SUBSTITUTE(SUBSTITUTE(SUBSTITUTE(A46,"~","~~"),"*","~*"),"?","~?")))</x:f>
      </x:c>
      <x:c r="E46" s="11" t="str">
        <x:f>IF(A46="","",SUMIFS(RecordData[In B at k],RecordData[Query ID],"="&amp;SUBSTITUTE(SUBSTITUTE(SUBSTITUTE(A46,"~","~~"),"*","~*"),"?","~?")))</x:f>
      </x:c>
      <x:c r="F46" s="11" t="str">
        <x:f>IF(C46&lt;&gt;"Ready","",SUMIFS(RecordData[Relevant A],RecordData[Query ID],"="&amp;SUBSTITUTE(SUBSTITUTE(SUBSTITUTE(A46,"~","~~"),"*","~*"),"?","~?")))</x:f>
      </x:c>
      <x:c r="G46" s="11" t="str">
        <x:f>IF(C46&lt;&gt;"Ready","",SUMIFS(RecordData[Relevant B],RecordData[Query ID],"="&amp;SUBSTITUTE(SUBSTITUTE(SUBSTITUTE(A46,"~","~~"),"*","~*"),"?","~?")))</x:f>
      </x:c>
      <x:c r="H46" s="11" t="str">
        <x:f>IF(A46="","",$B$4)</x:f>
      </x:c>
      <x:c r="I46" s="18" t="str">
        <x:f>IF(C46&lt;&gt;"Ready","",F46/H46)</x:f>
      </x:c>
      <x:c r="J46" s="18" t="str">
        <x:f>IF(C46&lt;&gt;"Ready","",G46/H46)</x:f>
      </x:c>
      <x:c r="K46" s="18" t="str">
        <x:f>IF(C46&lt;&gt;"Ready","",J46-I46)</x:f>
      </x:c>
      <x:c r="L46" s="11" t="str">
        <x:f>IF(A46="","",SUMIFS(RecordData[Seed total],RecordData[Query ID],"="&amp;SUBSTITUTE(SUBSTITUTE(SUBSTITUTE(A46,"~","~~"),"*","~*"),"?","~?")))</x:f>
      </x:c>
      <x:c r="M46" s="11" t="str">
        <x:f>IF(A46="","",IF(INDEX(QueryData[Capture status],MATCH(SUBSTITUTE(SUBSTITUTE(SUBSTITUTE(A46,"~","~~"),"*","~*"),"?","~?"),QueryData[Query ID],0))&lt;&gt;"Ready","",SUMIFS(RecordData[Seed A],RecordData[Query ID],"="&amp;SUBSTITUTE(SUBSTITUTE(SUBSTITUTE(A46,"~","~~"),"*","~*"),"?","~?"))))</x:f>
      </x:c>
      <x:c r="N46" s="11" t="str">
        <x:f>IF(A46="","",IF(INDEX(QueryData[Capture status],MATCH(SUBSTITUTE(SUBSTITUTE(SUBSTITUTE(A46,"~","~~"),"*","~*"),"?","~?"),QueryData[Query ID],0))&lt;&gt;"Ready","",SUMIFS(RecordData[Seed B],RecordData[Query ID],"="&amp;SUBSTITUTE(SUBSTITUTE(SUBSTITUTE(A46,"~","~~"),"*","~*"),"?","~?"))))</x:f>
      </x:c>
      <x:c r="O46" s="18" t="str">
        <x:f>IF(A46="","",IF(INDEX(QueryData[Capture status],MATCH(SUBSTITUTE(SUBSTITUTE(SUBSTITUTE(A46,"~","~~"),"*","~*"),"?","~?"),QueryData[Query ID],0))&lt;&gt;"Ready","",IF(L46=0,"No seeds specified",M46/L46)))</x:f>
      </x:c>
      <x:c r="P46" s="18" t="str">
        <x:f>IF(A46="","",IF(INDEX(QueryData[Capture status],MATCH(SUBSTITUTE(SUBSTITUTE(SUBSTITUTE(A46,"~","~~"),"*","~*"),"?","~?"),QueryData[Query ID],0))&lt;&gt;"Ready","",IF(L46=0,"No seeds specified",N46/L46)))</x:f>
      </x:c>
      <x:c r="Q46" s="18" t="str">
        <x:f>IF(A46="","",IF(OR(INDEX(QueryData[Capture status],MATCH(SUBSTITUTE(SUBSTITUTE(SUBSTITUTE(A46,"~","~~"),"*","~*"),"?","~?"),QueryData[Query ID],0))&lt;&gt;"Ready",L46=0),"",P46-O46))</x:f>
      </x:c>
    </x:row>
    <x:row r="47" ht="48" customHeight="1">
      <x:c r="A47" s="11" t="str">
        <x:f>IF(Queries!A47="","",Queries!A47)</x:f>
      </x:c>
      <x:c r="B47" s="13" t="str">
        <x:f>IF(A47="","",INDEX(QueryData[Probe],MATCH(SUBSTITUTE(SUBSTITUTE(SUBSTITUTE(A47,"~","~~"),"*","~*"),"?","~?"),QueryData[Query ID],0)))</x:f>
      </x:c>
      <x:c r="C47" s="13" t="str">
        <x:f>IF(A47="","",IF(INDEX(QueryData[Capture status],MATCH(SUBSTITUTE(SUBSTITUTE(SUBSTITUTE(A47,"~","~~"),"*","~*"),"?","~?"),QueryData[Query ID],0))&lt;&gt;"Ready",INDEX(QueryData[Capture status],MATCH(SUBSTITUTE(SUBSTITUTE(SUBSTITUTE(A47,"~","~~"),"*","~*"),"?","~?"),QueryData[Query ID],0)),IF(INDEX(QueryData[Judgement status],MATCH(SUBSTITUTE(SUBSTITUTE(SUBSTITUTE(A47,"~","~~"),"*","~*"),"?","~?"),QueryData[Query ID],0))&lt;&gt;"Judged",INDEX(QueryData[Judgement status],MATCH(SUBSTITUTE(SUBSTITUTE(SUBSTITUTE(A47,"~","~~"),"*","~*"),"?","~?"),QueryData[Query ID],0)),"Ready")))</x:f>
      </x:c>
      <x:c r="D47" s="11" t="str">
        <x:f>IF(A47="","",SUMIFS(RecordData[In A at k],RecordData[Query ID],"="&amp;SUBSTITUTE(SUBSTITUTE(SUBSTITUTE(A47,"~","~~"),"*","~*"),"?","~?")))</x:f>
      </x:c>
      <x:c r="E47" s="11" t="str">
        <x:f>IF(A47="","",SUMIFS(RecordData[In B at k],RecordData[Query ID],"="&amp;SUBSTITUTE(SUBSTITUTE(SUBSTITUTE(A47,"~","~~"),"*","~*"),"?","~?")))</x:f>
      </x:c>
      <x:c r="F47" s="11" t="str">
        <x:f>IF(C47&lt;&gt;"Ready","",SUMIFS(RecordData[Relevant A],RecordData[Query ID],"="&amp;SUBSTITUTE(SUBSTITUTE(SUBSTITUTE(A47,"~","~~"),"*","~*"),"?","~?")))</x:f>
      </x:c>
      <x:c r="G47" s="11" t="str">
        <x:f>IF(C47&lt;&gt;"Ready","",SUMIFS(RecordData[Relevant B],RecordData[Query ID],"="&amp;SUBSTITUTE(SUBSTITUTE(SUBSTITUTE(A47,"~","~~"),"*","~*"),"?","~?")))</x:f>
      </x:c>
      <x:c r="H47" s="11" t="str">
        <x:f>IF(A47="","",$B$4)</x:f>
      </x:c>
      <x:c r="I47" s="18" t="str">
        <x:f>IF(C47&lt;&gt;"Ready","",F47/H47)</x:f>
      </x:c>
      <x:c r="J47" s="18" t="str">
        <x:f>IF(C47&lt;&gt;"Ready","",G47/H47)</x:f>
      </x:c>
      <x:c r="K47" s="18" t="str">
        <x:f>IF(C47&lt;&gt;"Ready","",J47-I47)</x:f>
      </x:c>
      <x:c r="L47" s="11" t="str">
        <x:f>IF(A47="","",SUMIFS(RecordData[Seed total],RecordData[Query ID],"="&amp;SUBSTITUTE(SUBSTITUTE(SUBSTITUTE(A47,"~","~~"),"*","~*"),"?","~?")))</x:f>
      </x:c>
      <x:c r="M47" s="11" t="str">
        <x:f>IF(A47="","",IF(INDEX(QueryData[Capture status],MATCH(SUBSTITUTE(SUBSTITUTE(SUBSTITUTE(A47,"~","~~"),"*","~*"),"?","~?"),QueryData[Query ID],0))&lt;&gt;"Ready","",SUMIFS(RecordData[Seed A],RecordData[Query ID],"="&amp;SUBSTITUTE(SUBSTITUTE(SUBSTITUTE(A47,"~","~~"),"*","~*"),"?","~?"))))</x:f>
      </x:c>
      <x:c r="N47" s="11" t="str">
        <x:f>IF(A47="","",IF(INDEX(QueryData[Capture status],MATCH(SUBSTITUTE(SUBSTITUTE(SUBSTITUTE(A47,"~","~~"),"*","~*"),"?","~?"),QueryData[Query ID],0))&lt;&gt;"Ready","",SUMIFS(RecordData[Seed B],RecordData[Query ID],"="&amp;SUBSTITUTE(SUBSTITUTE(SUBSTITUTE(A47,"~","~~"),"*","~*"),"?","~?"))))</x:f>
      </x:c>
      <x:c r="O47" s="18" t="str">
        <x:f>IF(A47="","",IF(INDEX(QueryData[Capture status],MATCH(SUBSTITUTE(SUBSTITUTE(SUBSTITUTE(A47,"~","~~"),"*","~*"),"?","~?"),QueryData[Query ID],0))&lt;&gt;"Ready","",IF(L47=0,"No seeds specified",M47/L47)))</x:f>
      </x:c>
      <x:c r="P47" s="18" t="str">
        <x:f>IF(A47="","",IF(INDEX(QueryData[Capture status],MATCH(SUBSTITUTE(SUBSTITUTE(SUBSTITUTE(A47,"~","~~"),"*","~*"),"?","~?"),QueryData[Query ID],0))&lt;&gt;"Ready","",IF(L47=0,"No seeds specified",N47/L47)))</x:f>
      </x:c>
      <x:c r="Q47" s="18" t="str">
        <x:f>IF(A47="","",IF(OR(INDEX(QueryData[Capture status],MATCH(SUBSTITUTE(SUBSTITUTE(SUBSTITUTE(A47,"~","~~"),"*","~*"),"?","~?"),QueryData[Query ID],0))&lt;&gt;"Ready",L47=0),"",P47-O47))</x:f>
      </x:c>
    </x:row>
    <x:row r="48" ht="48" customHeight="1">
      <x:c r="A48" s="11" t="str">
        <x:f>IF(Queries!A48="","",Queries!A48)</x:f>
      </x:c>
      <x:c r="B48" s="13" t="str">
        <x:f>IF(A48="","",INDEX(QueryData[Probe],MATCH(SUBSTITUTE(SUBSTITUTE(SUBSTITUTE(A48,"~","~~"),"*","~*"),"?","~?"),QueryData[Query ID],0)))</x:f>
      </x:c>
      <x:c r="C48" s="13" t="str">
        <x:f>IF(A48="","",IF(INDEX(QueryData[Capture status],MATCH(SUBSTITUTE(SUBSTITUTE(SUBSTITUTE(A48,"~","~~"),"*","~*"),"?","~?"),QueryData[Query ID],0))&lt;&gt;"Ready",INDEX(QueryData[Capture status],MATCH(SUBSTITUTE(SUBSTITUTE(SUBSTITUTE(A48,"~","~~"),"*","~*"),"?","~?"),QueryData[Query ID],0)),IF(INDEX(QueryData[Judgement status],MATCH(SUBSTITUTE(SUBSTITUTE(SUBSTITUTE(A48,"~","~~"),"*","~*"),"?","~?"),QueryData[Query ID],0))&lt;&gt;"Judged",INDEX(QueryData[Judgement status],MATCH(SUBSTITUTE(SUBSTITUTE(SUBSTITUTE(A48,"~","~~"),"*","~*"),"?","~?"),QueryData[Query ID],0)),"Ready")))</x:f>
      </x:c>
      <x:c r="D48" s="11" t="str">
        <x:f>IF(A48="","",SUMIFS(RecordData[In A at k],RecordData[Query ID],"="&amp;SUBSTITUTE(SUBSTITUTE(SUBSTITUTE(A48,"~","~~"),"*","~*"),"?","~?")))</x:f>
      </x:c>
      <x:c r="E48" s="11" t="str">
        <x:f>IF(A48="","",SUMIFS(RecordData[In B at k],RecordData[Query ID],"="&amp;SUBSTITUTE(SUBSTITUTE(SUBSTITUTE(A48,"~","~~"),"*","~*"),"?","~?")))</x:f>
      </x:c>
      <x:c r="F48" s="11" t="str">
        <x:f>IF(C48&lt;&gt;"Ready","",SUMIFS(RecordData[Relevant A],RecordData[Query ID],"="&amp;SUBSTITUTE(SUBSTITUTE(SUBSTITUTE(A48,"~","~~"),"*","~*"),"?","~?")))</x:f>
      </x:c>
      <x:c r="G48" s="11" t="str">
        <x:f>IF(C48&lt;&gt;"Ready","",SUMIFS(RecordData[Relevant B],RecordData[Query ID],"="&amp;SUBSTITUTE(SUBSTITUTE(SUBSTITUTE(A48,"~","~~"),"*","~*"),"?","~?")))</x:f>
      </x:c>
      <x:c r="H48" s="11" t="str">
        <x:f>IF(A48="","",$B$4)</x:f>
      </x:c>
      <x:c r="I48" s="18" t="str">
        <x:f>IF(C48&lt;&gt;"Ready","",F48/H48)</x:f>
      </x:c>
      <x:c r="J48" s="18" t="str">
        <x:f>IF(C48&lt;&gt;"Ready","",G48/H48)</x:f>
      </x:c>
      <x:c r="K48" s="18" t="str">
        <x:f>IF(C48&lt;&gt;"Ready","",J48-I48)</x:f>
      </x:c>
      <x:c r="L48" s="11" t="str">
        <x:f>IF(A48="","",SUMIFS(RecordData[Seed total],RecordData[Query ID],"="&amp;SUBSTITUTE(SUBSTITUTE(SUBSTITUTE(A48,"~","~~"),"*","~*"),"?","~?")))</x:f>
      </x:c>
      <x:c r="M48" s="11" t="str">
        <x:f>IF(A48="","",IF(INDEX(QueryData[Capture status],MATCH(SUBSTITUTE(SUBSTITUTE(SUBSTITUTE(A48,"~","~~"),"*","~*"),"?","~?"),QueryData[Query ID],0))&lt;&gt;"Ready","",SUMIFS(RecordData[Seed A],RecordData[Query ID],"="&amp;SUBSTITUTE(SUBSTITUTE(SUBSTITUTE(A48,"~","~~"),"*","~*"),"?","~?"))))</x:f>
      </x:c>
      <x:c r="N48" s="11" t="str">
        <x:f>IF(A48="","",IF(INDEX(QueryData[Capture status],MATCH(SUBSTITUTE(SUBSTITUTE(SUBSTITUTE(A48,"~","~~"),"*","~*"),"?","~?"),QueryData[Query ID],0))&lt;&gt;"Ready","",SUMIFS(RecordData[Seed B],RecordData[Query ID],"="&amp;SUBSTITUTE(SUBSTITUTE(SUBSTITUTE(A48,"~","~~"),"*","~*"),"?","~?"))))</x:f>
      </x:c>
      <x:c r="O48" s="18" t="str">
        <x:f>IF(A48="","",IF(INDEX(QueryData[Capture status],MATCH(SUBSTITUTE(SUBSTITUTE(SUBSTITUTE(A48,"~","~~"),"*","~*"),"?","~?"),QueryData[Query ID],0))&lt;&gt;"Ready","",IF(L48=0,"No seeds specified",M48/L48)))</x:f>
      </x:c>
      <x:c r="P48" s="18" t="str">
        <x:f>IF(A48="","",IF(INDEX(QueryData[Capture status],MATCH(SUBSTITUTE(SUBSTITUTE(SUBSTITUTE(A48,"~","~~"),"*","~*"),"?","~?"),QueryData[Query ID],0))&lt;&gt;"Ready","",IF(L48=0,"No seeds specified",N48/L48)))</x:f>
      </x:c>
      <x:c r="Q48" s="18" t="str">
        <x:f>IF(A48="","",IF(OR(INDEX(QueryData[Capture status],MATCH(SUBSTITUTE(SUBSTITUTE(SUBSTITUTE(A48,"~","~~"),"*","~*"),"?","~?"),QueryData[Query ID],0))&lt;&gt;"Ready",L48=0),"",P48-O48))</x:f>
      </x:c>
    </x:row>
    <x:row r="49" ht="48" customHeight="1">
      <x:c r="A49" s="11" t="str">
        <x:f>IF(Queries!A49="","",Queries!A49)</x:f>
      </x:c>
      <x:c r="B49" s="13" t="str">
        <x:f>IF(A49="","",INDEX(QueryData[Probe],MATCH(SUBSTITUTE(SUBSTITUTE(SUBSTITUTE(A49,"~","~~"),"*","~*"),"?","~?"),QueryData[Query ID],0)))</x:f>
      </x:c>
      <x:c r="C49" s="13" t="str">
        <x:f>IF(A49="","",IF(INDEX(QueryData[Capture status],MATCH(SUBSTITUTE(SUBSTITUTE(SUBSTITUTE(A49,"~","~~"),"*","~*"),"?","~?"),QueryData[Query ID],0))&lt;&gt;"Ready",INDEX(QueryData[Capture status],MATCH(SUBSTITUTE(SUBSTITUTE(SUBSTITUTE(A49,"~","~~"),"*","~*"),"?","~?"),QueryData[Query ID],0)),IF(INDEX(QueryData[Judgement status],MATCH(SUBSTITUTE(SUBSTITUTE(SUBSTITUTE(A49,"~","~~"),"*","~*"),"?","~?"),QueryData[Query ID],0))&lt;&gt;"Judged",INDEX(QueryData[Judgement status],MATCH(SUBSTITUTE(SUBSTITUTE(SUBSTITUTE(A49,"~","~~"),"*","~*"),"?","~?"),QueryData[Query ID],0)),"Ready")))</x:f>
      </x:c>
      <x:c r="D49" s="11" t="str">
        <x:f>IF(A49="","",SUMIFS(RecordData[In A at k],RecordData[Query ID],"="&amp;SUBSTITUTE(SUBSTITUTE(SUBSTITUTE(A49,"~","~~"),"*","~*"),"?","~?")))</x:f>
      </x:c>
      <x:c r="E49" s="11" t="str">
        <x:f>IF(A49="","",SUMIFS(RecordData[In B at k],RecordData[Query ID],"="&amp;SUBSTITUTE(SUBSTITUTE(SUBSTITUTE(A49,"~","~~"),"*","~*"),"?","~?")))</x:f>
      </x:c>
      <x:c r="F49" s="11" t="str">
        <x:f>IF(C49&lt;&gt;"Ready","",SUMIFS(RecordData[Relevant A],RecordData[Query ID],"="&amp;SUBSTITUTE(SUBSTITUTE(SUBSTITUTE(A49,"~","~~"),"*","~*"),"?","~?")))</x:f>
      </x:c>
      <x:c r="G49" s="11" t="str">
        <x:f>IF(C49&lt;&gt;"Ready","",SUMIFS(RecordData[Relevant B],RecordData[Query ID],"="&amp;SUBSTITUTE(SUBSTITUTE(SUBSTITUTE(A49,"~","~~"),"*","~*"),"?","~?")))</x:f>
      </x:c>
      <x:c r="H49" s="11" t="str">
        <x:f>IF(A49="","",$B$4)</x:f>
      </x:c>
      <x:c r="I49" s="18" t="str">
        <x:f>IF(C49&lt;&gt;"Ready","",F49/H49)</x:f>
      </x:c>
      <x:c r="J49" s="18" t="str">
        <x:f>IF(C49&lt;&gt;"Ready","",G49/H49)</x:f>
      </x:c>
      <x:c r="K49" s="18" t="str">
        <x:f>IF(C49&lt;&gt;"Ready","",J49-I49)</x:f>
      </x:c>
      <x:c r="L49" s="11" t="str">
        <x:f>IF(A49="","",SUMIFS(RecordData[Seed total],RecordData[Query ID],"="&amp;SUBSTITUTE(SUBSTITUTE(SUBSTITUTE(A49,"~","~~"),"*","~*"),"?","~?")))</x:f>
      </x:c>
      <x:c r="M49" s="11" t="str">
        <x:f>IF(A49="","",IF(INDEX(QueryData[Capture status],MATCH(SUBSTITUTE(SUBSTITUTE(SUBSTITUTE(A49,"~","~~"),"*","~*"),"?","~?"),QueryData[Query ID],0))&lt;&gt;"Ready","",SUMIFS(RecordData[Seed A],RecordData[Query ID],"="&amp;SUBSTITUTE(SUBSTITUTE(SUBSTITUTE(A49,"~","~~"),"*","~*"),"?","~?"))))</x:f>
      </x:c>
      <x:c r="N49" s="11" t="str">
        <x:f>IF(A49="","",IF(INDEX(QueryData[Capture status],MATCH(SUBSTITUTE(SUBSTITUTE(SUBSTITUTE(A49,"~","~~"),"*","~*"),"?","~?"),QueryData[Query ID],0))&lt;&gt;"Ready","",SUMIFS(RecordData[Seed B],RecordData[Query ID],"="&amp;SUBSTITUTE(SUBSTITUTE(SUBSTITUTE(A49,"~","~~"),"*","~*"),"?","~?"))))</x:f>
      </x:c>
      <x:c r="O49" s="18" t="str">
        <x:f>IF(A49="","",IF(INDEX(QueryData[Capture status],MATCH(SUBSTITUTE(SUBSTITUTE(SUBSTITUTE(A49,"~","~~"),"*","~*"),"?","~?"),QueryData[Query ID],0))&lt;&gt;"Ready","",IF(L49=0,"No seeds specified",M49/L49)))</x:f>
      </x:c>
      <x:c r="P49" s="18" t="str">
        <x:f>IF(A49="","",IF(INDEX(QueryData[Capture status],MATCH(SUBSTITUTE(SUBSTITUTE(SUBSTITUTE(A49,"~","~~"),"*","~*"),"?","~?"),QueryData[Query ID],0))&lt;&gt;"Ready","",IF(L49=0,"No seeds specified",N49/L49)))</x:f>
      </x:c>
      <x:c r="Q49" s="18" t="str">
        <x:f>IF(A49="","",IF(OR(INDEX(QueryData[Capture status],MATCH(SUBSTITUTE(SUBSTITUTE(SUBSTITUTE(A49,"~","~~"),"*","~*"),"?","~?"),QueryData[Query ID],0))&lt;&gt;"Ready",L49=0),"",P49-O49))</x:f>
      </x:c>
    </x:row>
    <x:row r="50" ht="48" customHeight="1">
      <x:c r="A50" s="11" t="str">
        <x:f>IF(Queries!A50="","",Queries!A50)</x:f>
      </x:c>
      <x:c r="B50" s="13" t="str">
        <x:f>IF(A50="","",INDEX(QueryData[Probe],MATCH(SUBSTITUTE(SUBSTITUTE(SUBSTITUTE(A50,"~","~~"),"*","~*"),"?","~?"),QueryData[Query ID],0)))</x:f>
      </x:c>
      <x:c r="C50" s="13" t="str">
        <x:f>IF(A50="","",IF(INDEX(QueryData[Capture status],MATCH(SUBSTITUTE(SUBSTITUTE(SUBSTITUTE(A50,"~","~~"),"*","~*"),"?","~?"),QueryData[Query ID],0))&lt;&gt;"Ready",INDEX(QueryData[Capture status],MATCH(SUBSTITUTE(SUBSTITUTE(SUBSTITUTE(A50,"~","~~"),"*","~*"),"?","~?"),QueryData[Query ID],0)),IF(INDEX(QueryData[Judgement status],MATCH(SUBSTITUTE(SUBSTITUTE(SUBSTITUTE(A50,"~","~~"),"*","~*"),"?","~?"),QueryData[Query ID],0))&lt;&gt;"Judged",INDEX(QueryData[Judgement status],MATCH(SUBSTITUTE(SUBSTITUTE(SUBSTITUTE(A50,"~","~~"),"*","~*"),"?","~?"),QueryData[Query ID],0)),"Ready")))</x:f>
      </x:c>
      <x:c r="D50" s="11" t="str">
        <x:f>IF(A50="","",SUMIFS(RecordData[In A at k],RecordData[Query ID],"="&amp;SUBSTITUTE(SUBSTITUTE(SUBSTITUTE(A50,"~","~~"),"*","~*"),"?","~?")))</x:f>
      </x:c>
      <x:c r="E50" s="11" t="str">
        <x:f>IF(A50="","",SUMIFS(RecordData[In B at k],RecordData[Query ID],"="&amp;SUBSTITUTE(SUBSTITUTE(SUBSTITUTE(A50,"~","~~"),"*","~*"),"?","~?")))</x:f>
      </x:c>
      <x:c r="F50" s="11" t="str">
        <x:f>IF(C50&lt;&gt;"Ready","",SUMIFS(RecordData[Relevant A],RecordData[Query ID],"="&amp;SUBSTITUTE(SUBSTITUTE(SUBSTITUTE(A50,"~","~~"),"*","~*"),"?","~?")))</x:f>
      </x:c>
      <x:c r="G50" s="11" t="str">
        <x:f>IF(C50&lt;&gt;"Ready","",SUMIFS(RecordData[Relevant B],RecordData[Query ID],"="&amp;SUBSTITUTE(SUBSTITUTE(SUBSTITUTE(A50,"~","~~"),"*","~*"),"?","~?")))</x:f>
      </x:c>
      <x:c r="H50" s="11" t="str">
        <x:f>IF(A50="","",$B$4)</x:f>
      </x:c>
      <x:c r="I50" s="18" t="str">
        <x:f>IF(C50&lt;&gt;"Ready","",F50/H50)</x:f>
      </x:c>
      <x:c r="J50" s="18" t="str">
        <x:f>IF(C50&lt;&gt;"Ready","",G50/H50)</x:f>
      </x:c>
      <x:c r="K50" s="18" t="str">
        <x:f>IF(C50&lt;&gt;"Ready","",J50-I50)</x:f>
      </x:c>
      <x:c r="L50" s="11" t="str">
        <x:f>IF(A50="","",SUMIFS(RecordData[Seed total],RecordData[Query ID],"="&amp;SUBSTITUTE(SUBSTITUTE(SUBSTITUTE(A50,"~","~~"),"*","~*"),"?","~?")))</x:f>
      </x:c>
      <x:c r="M50" s="11" t="str">
        <x:f>IF(A50="","",IF(INDEX(QueryData[Capture status],MATCH(SUBSTITUTE(SUBSTITUTE(SUBSTITUTE(A50,"~","~~"),"*","~*"),"?","~?"),QueryData[Query ID],0))&lt;&gt;"Ready","",SUMIFS(RecordData[Seed A],RecordData[Query ID],"="&amp;SUBSTITUTE(SUBSTITUTE(SUBSTITUTE(A50,"~","~~"),"*","~*"),"?","~?"))))</x:f>
      </x:c>
      <x:c r="N50" s="11" t="str">
        <x:f>IF(A50="","",IF(INDEX(QueryData[Capture status],MATCH(SUBSTITUTE(SUBSTITUTE(SUBSTITUTE(A50,"~","~~"),"*","~*"),"?","~?"),QueryData[Query ID],0))&lt;&gt;"Ready","",SUMIFS(RecordData[Seed B],RecordData[Query ID],"="&amp;SUBSTITUTE(SUBSTITUTE(SUBSTITUTE(A50,"~","~~"),"*","~*"),"?","~?"))))</x:f>
      </x:c>
      <x:c r="O50" s="18" t="str">
        <x:f>IF(A50="","",IF(INDEX(QueryData[Capture status],MATCH(SUBSTITUTE(SUBSTITUTE(SUBSTITUTE(A50,"~","~~"),"*","~*"),"?","~?"),QueryData[Query ID],0))&lt;&gt;"Ready","",IF(L50=0,"No seeds specified",M50/L50)))</x:f>
      </x:c>
      <x:c r="P50" s="18" t="str">
        <x:f>IF(A50="","",IF(INDEX(QueryData[Capture status],MATCH(SUBSTITUTE(SUBSTITUTE(SUBSTITUTE(A50,"~","~~"),"*","~*"),"?","~?"),QueryData[Query ID],0))&lt;&gt;"Ready","",IF(L50=0,"No seeds specified",N50/L50)))</x:f>
      </x:c>
      <x:c r="Q50" s="18" t="str">
        <x:f>IF(A50="","",IF(OR(INDEX(QueryData[Capture status],MATCH(SUBSTITUTE(SUBSTITUTE(SUBSTITUTE(A50,"~","~~"),"*","~*"),"?","~?"),QueryData[Query ID],0))&lt;&gt;"Ready",L50=0),"",P50-O50))</x:f>
      </x:c>
    </x:row>
    <x:row r="51" ht="48" customHeight="1">
      <x:c r="A51" s="11" t="str">
        <x:f>IF(Queries!A51="","",Queries!A51)</x:f>
      </x:c>
      <x:c r="B51" s="13" t="str">
        <x:f>IF(A51="","",INDEX(QueryData[Probe],MATCH(SUBSTITUTE(SUBSTITUTE(SUBSTITUTE(A51,"~","~~"),"*","~*"),"?","~?"),QueryData[Query ID],0)))</x:f>
      </x:c>
      <x:c r="C51" s="13" t="str">
        <x:f>IF(A51="","",IF(INDEX(QueryData[Capture status],MATCH(SUBSTITUTE(SUBSTITUTE(SUBSTITUTE(A51,"~","~~"),"*","~*"),"?","~?"),QueryData[Query ID],0))&lt;&gt;"Ready",INDEX(QueryData[Capture status],MATCH(SUBSTITUTE(SUBSTITUTE(SUBSTITUTE(A51,"~","~~"),"*","~*"),"?","~?"),QueryData[Query ID],0)),IF(INDEX(QueryData[Judgement status],MATCH(SUBSTITUTE(SUBSTITUTE(SUBSTITUTE(A51,"~","~~"),"*","~*"),"?","~?"),QueryData[Query ID],0))&lt;&gt;"Judged",INDEX(QueryData[Judgement status],MATCH(SUBSTITUTE(SUBSTITUTE(SUBSTITUTE(A51,"~","~~"),"*","~*"),"?","~?"),QueryData[Query ID],0)),"Ready")))</x:f>
      </x:c>
      <x:c r="D51" s="11" t="str">
        <x:f>IF(A51="","",SUMIFS(RecordData[In A at k],RecordData[Query ID],"="&amp;SUBSTITUTE(SUBSTITUTE(SUBSTITUTE(A51,"~","~~"),"*","~*"),"?","~?")))</x:f>
      </x:c>
      <x:c r="E51" s="11" t="str">
        <x:f>IF(A51="","",SUMIFS(RecordData[In B at k],RecordData[Query ID],"="&amp;SUBSTITUTE(SUBSTITUTE(SUBSTITUTE(A51,"~","~~"),"*","~*"),"?","~?")))</x:f>
      </x:c>
      <x:c r="F51" s="11" t="str">
        <x:f>IF(C51&lt;&gt;"Ready","",SUMIFS(RecordData[Relevant A],RecordData[Query ID],"="&amp;SUBSTITUTE(SUBSTITUTE(SUBSTITUTE(A51,"~","~~"),"*","~*"),"?","~?")))</x:f>
      </x:c>
      <x:c r="G51" s="11" t="str">
        <x:f>IF(C51&lt;&gt;"Ready","",SUMIFS(RecordData[Relevant B],RecordData[Query ID],"="&amp;SUBSTITUTE(SUBSTITUTE(SUBSTITUTE(A51,"~","~~"),"*","~*"),"?","~?")))</x:f>
      </x:c>
      <x:c r="H51" s="11" t="str">
        <x:f>IF(A51="","",$B$4)</x:f>
      </x:c>
      <x:c r="I51" s="18" t="str">
        <x:f>IF(C51&lt;&gt;"Ready","",F51/H51)</x:f>
      </x:c>
      <x:c r="J51" s="18" t="str">
        <x:f>IF(C51&lt;&gt;"Ready","",G51/H51)</x:f>
      </x:c>
      <x:c r="K51" s="18" t="str">
        <x:f>IF(C51&lt;&gt;"Ready","",J51-I51)</x:f>
      </x:c>
      <x:c r="L51" s="11" t="str">
        <x:f>IF(A51="","",SUMIFS(RecordData[Seed total],RecordData[Query ID],"="&amp;SUBSTITUTE(SUBSTITUTE(SUBSTITUTE(A51,"~","~~"),"*","~*"),"?","~?")))</x:f>
      </x:c>
      <x:c r="M51" s="11" t="str">
        <x:f>IF(A51="","",IF(INDEX(QueryData[Capture status],MATCH(SUBSTITUTE(SUBSTITUTE(SUBSTITUTE(A51,"~","~~"),"*","~*"),"?","~?"),QueryData[Query ID],0))&lt;&gt;"Ready","",SUMIFS(RecordData[Seed A],RecordData[Query ID],"="&amp;SUBSTITUTE(SUBSTITUTE(SUBSTITUTE(A51,"~","~~"),"*","~*"),"?","~?"))))</x:f>
      </x:c>
      <x:c r="N51" s="11" t="str">
        <x:f>IF(A51="","",IF(INDEX(QueryData[Capture status],MATCH(SUBSTITUTE(SUBSTITUTE(SUBSTITUTE(A51,"~","~~"),"*","~*"),"?","~?"),QueryData[Query ID],0))&lt;&gt;"Ready","",SUMIFS(RecordData[Seed B],RecordData[Query ID],"="&amp;SUBSTITUTE(SUBSTITUTE(SUBSTITUTE(A51,"~","~~"),"*","~*"),"?","~?"))))</x:f>
      </x:c>
      <x:c r="O51" s="18" t="str">
        <x:f>IF(A51="","",IF(INDEX(QueryData[Capture status],MATCH(SUBSTITUTE(SUBSTITUTE(SUBSTITUTE(A51,"~","~~"),"*","~*"),"?","~?"),QueryData[Query ID],0))&lt;&gt;"Ready","",IF(L51=0,"No seeds specified",M51/L51)))</x:f>
      </x:c>
      <x:c r="P51" s="18" t="str">
        <x:f>IF(A51="","",IF(INDEX(QueryData[Capture status],MATCH(SUBSTITUTE(SUBSTITUTE(SUBSTITUTE(A51,"~","~~"),"*","~*"),"?","~?"),QueryData[Query ID],0))&lt;&gt;"Ready","",IF(L51=0,"No seeds specified",N51/L51)))</x:f>
      </x:c>
      <x:c r="Q51" s="18" t="str">
        <x:f>IF(A51="","",IF(OR(INDEX(QueryData[Capture status],MATCH(SUBSTITUTE(SUBSTITUTE(SUBSTITUTE(A51,"~","~~"),"*","~*"),"?","~?"),QueryData[Query ID],0))&lt;&gt;"Ready",L51=0),"",P51-O51))</x:f>
      </x:c>
    </x:row>
    <x:row r="52" ht="48" customHeight="1">
      <x:c r="A52" s="11" t="str">
        <x:f>IF(Queries!A52="","",Queries!A52)</x:f>
      </x:c>
      <x:c r="B52" s="13" t="str">
        <x:f>IF(A52="","",INDEX(QueryData[Probe],MATCH(SUBSTITUTE(SUBSTITUTE(SUBSTITUTE(A52,"~","~~"),"*","~*"),"?","~?"),QueryData[Query ID],0)))</x:f>
      </x:c>
      <x:c r="C52" s="13" t="str">
        <x:f>IF(A52="","",IF(INDEX(QueryData[Capture status],MATCH(SUBSTITUTE(SUBSTITUTE(SUBSTITUTE(A52,"~","~~"),"*","~*"),"?","~?"),QueryData[Query ID],0))&lt;&gt;"Ready",INDEX(QueryData[Capture status],MATCH(SUBSTITUTE(SUBSTITUTE(SUBSTITUTE(A52,"~","~~"),"*","~*"),"?","~?"),QueryData[Query ID],0)),IF(INDEX(QueryData[Judgement status],MATCH(SUBSTITUTE(SUBSTITUTE(SUBSTITUTE(A52,"~","~~"),"*","~*"),"?","~?"),QueryData[Query ID],0))&lt;&gt;"Judged",INDEX(QueryData[Judgement status],MATCH(SUBSTITUTE(SUBSTITUTE(SUBSTITUTE(A52,"~","~~"),"*","~*"),"?","~?"),QueryData[Query ID],0)),"Ready")))</x:f>
      </x:c>
      <x:c r="D52" s="11" t="str">
        <x:f>IF(A52="","",SUMIFS(RecordData[In A at k],RecordData[Query ID],"="&amp;SUBSTITUTE(SUBSTITUTE(SUBSTITUTE(A52,"~","~~"),"*","~*"),"?","~?")))</x:f>
      </x:c>
      <x:c r="E52" s="11" t="str">
        <x:f>IF(A52="","",SUMIFS(RecordData[In B at k],RecordData[Query ID],"="&amp;SUBSTITUTE(SUBSTITUTE(SUBSTITUTE(A52,"~","~~"),"*","~*"),"?","~?")))</x:f>
      </x:c>
      <x:c r="F52" s="11" t="str">
        <x:f>IF(C52&lt;&gt;"Ready","",SUMIFS(RecordData[Relevant A],RecordData[Query ID],"="&amp;SUBSTITUTE(SUBSTITUTE(SUBSTITUTE(A52,"~","~~"),"*","~*"),"?","~?")))</x:f>
      </x:c>
      <x:c r="G52" s="11" t="str">
        <x:f>IF(C52&lt;&gt;"Ready","",SUMIFS(RecordData[Relevant B],RecordData[Query ID],"="&amp;SUBSTITUTE(SUBSTITUTE(SUBSTITUTE(A52,"~","~~"),"*","~*"),"?","~?")))</x:f>
      </x:c>
      <x:c r="H52" s="11" t="str">
        <x:f>IF(A52="","",$B$4)</x:f>
      </x:c>
      <x:c r="I52" s="18" t="str">
        <x:f>IF(C52&lt;&gt;"Ready","",F52/H52)</x:f>
      </x:c>
      <x:c r="J52" s="18" t="str">
        <x:f>IF(C52&lt;&gt;"Ready","",G52/H52)</x:f>
      </x:c>
      <x:c r="K52" s="18" t="str">
        <x:f>IF(C52&lt;&gt;"Ready","",J52-I52)</x:f>
      </x:c>
      <x:c r="L52" s="11" t="str">
        <x:f>IF(A52="","",SUMIFS(RecordData[Seed total],RecordData[Query ID],"="&amp;SUBSTITUTE(SUBSTITUTE(SUBSTITUTE(A52,"~","~~"),"*","~*"),"?","~?")))</x:f>
      </x:c>
      <x:c r="M52" s="11" t="str">
        <x:f>IF(A52="","",IF(INDEX(QueryData[Capture status],MATCH(SUBSTITUTE(SUBSTITUTE(SUBSTITUTE(A52,"~","~~"),"*","~*"),"?","~?"),QueryData[Query ID],0))&lt;&gt;"Ready","",SUMIFS(RecordData[Seed A],RecordData[Query ID],"="&amp;SUBSTITUTE(SUBSTITUTE(SUBSTITUTE(A52,"~","~~"),"*","~*"),"?","~?"))))</x:f>
      </x:c>
      <x:c r="N52" s="11" t="str">
        <x:f>IF(A52="","",IF(INDEX(QueryData[Capture status],MATCH(SUBSTITUTE(SUBSTITUTE(SUBSTITUTE(A52,"~","~~"),"*","~*"),"?","~?"),QueryData[Query ID],0))&lt;&gt;"Ready","",SUMIFS(RecordData[Seed B],RecordData[Query ID],"="&amp;SUBSTITUTE(SUBSTITUTE(SUBSTITUTE(A52,"~","~~"),"*","~*"),"?","~?"))))</x:f>
      </x:c>
      <x:c r="O52" s="18" t="str">
        <x:f>IF(A52="","",IF(INDEX(QueryData[Capture status],MATCH(SUBSTITUTE(SUBSTITUTE(SUBSTITUTE(A52,"~","~~"),"*","~*"),"?","~?"),QueryData[Query ID],0))&lt;&gt;"Ready","",IF(L52=0,"No seeds specified",M52/L52)))</x:f>
      </x:c>
      <x:c r="P52" s="18" t="str">
        <x:f>IF(A52="","",IF(INDEX(QueryData[Capture status],MATCH(SUBSTITUTE(SUBSTITUTE(SUBSTITUTE(A52,"~","~~"),"*","~*"),"?","~?"),QueryData[Query ID],0))&lt;&gt;"Ready","",IF(L52=0,"No seeds specified",N52/L52)))</x:f>
      </x:c>
      <x:c r="Q52" s="18" t="str">
        <x:f>IF(A52="","",IF(OR(INDEX(QueryData[Capture status],MATCH(SUBSTITUTE(SUBSTITUTE(SUBSTITUTE(A52,"~","~~"),"*","~*"),"?","~?"),QueryData[Query ID],0))&lt;&gt;"Ready",L52=0),"",P52-O52))</x:f>
      </x:c>
    </x:row>
    <x:row r="53" ht="48" customHeight="1">
      <x:c r="A53" s="11" t="str">
        <x:f>IF(Queries!A53="","",Queries!A53)</x:f>
      </x:c>
      <x:c r="B53" s="13" t="str">
        <x:f>IF(A53="","",INDEX(QueryData[Probe],MATCH(SUBSTITUTE(SUBSTITUTE(SUBSTITUTE(A53,"~","~~"),"*","~*"),"?","~?"),QueryData[Query ID],0)))</x:f>
      </x:c>
      <x:c r="C53" s="13" t="str">
        <x:f>IF(A53="","",IF(INDEX(QueryData[Capture status],MATCH(SUBSTITUTE(SUBSTITUTE(SUBSTITUTE(A53,"~","~~"),"*","~*"),"?","~?"),QueryData[Query ID],0))&lt;&gt;"Ready",INDEX(QueryData[Capture status],MATCH(SUBSTITUTE(SUBSTITUTE(SUBSTITUTE(A53,"~","~~"),"*","~*"),"?","~?"),QueryData[Query ID],0)),IF(INDEX(QueryData[Judgement status],MATCH(SUBSTITUTE(SUBSTITUTE(SUBSTITUTE(A53,"~","~~"),"*","~*"),"?","~?"),QueryData[Query ID],0))&lt;&gt;"Judged",INDEX(QueryData[Judgement status],MATCH(SUBSTITUTE(SUBSTITUTE(SUBSTITUTE(A53,"~","~~"),"*","~*"),"?","~?"),QueryData[Query ID],0)),"Ready")))</x:f>
      </x:c>
      <x:c r="D53" s="11" t="str">
        <x:f>IF(A53="","",SUMIFS(RecordData[In A at k],RecordData[Query ID],"="&amp;SUBSTITUTE(SUBSTITUTE(SUBSTITUTE(A53,"~","~~"),"*","~*"),"?","~?")))</x:f>
      </x:c>
      <x:c r="E53" s="11" t="str">
        <x:f>IF(A53="","",SUMIFS(RecordData[In B at k],RecordData[Query ID],"="&amp;SUBSTITUTE(SUBSTITUTE(SUBSTITUTE(A53,"~","~~"),"*","~*"),"?","~?")))</x:f>
      </x:c>
      <x:c r="F53" s="11" t="str">
        <x:f>IF(C53&lt;&gt;"Ready","",SUMIFS(RecordData[Relevant A],RecordData[Query ID],"="&amp;SUBSTITUTE(SUBSTITUTE(SUBSTITUTE(A53,"~","~~"),"*","~*"),"?","~?")))</x:f>
      </x:c>
      <x:c r="G53" s="11" t="str">
        <x:f>IF(C53&lt;&gt;"Ready","",SUMIFS(RecordData[Relevant B],RecordData[Query ID],"="&amp;SUBSTITUTE(SUBSTITUTE(SUBSTITUTE(A53,"~","~~"),"*","~*"),"?","~?")))</x:f>
      </x:c>
      <x:c r="H53" s="11" t="str">
        <x:f>IF(A53="","",$B$4)</x:f>
      </x:c>
      <x:c r="I53" s="18" t="str">
        <x:f>IF(C53&lt;&gt;"Ready","",F53/H53)</x:f>
      </x:c>
      <x:c r="J53" s="18" t="str">
        <x:f>IF(C53&lt;&gt;"Ready","",G53/H53)</x:f>
      </x:c>
      <x:c r="K53" s="18" t="str">
        <x:f>IF(C53&lt;&gt;"Ready","",J53-I53)</x:f>
      </x:c>
      <x:c r="L53" s="11" t="str">
        <x:f>IF(A53="","",SUMIFS(RecordData[Seed total],RecordData[Query ID],"="&amp;SUBSTITUTE(SUBSTITUTE(SUBSTITUTE(A53,"~","~~"),"*","~*"),"?","~?")))</x:f>
      </x:c>
      <x:c r="M53" s="11" t="str">
        <x:f>IF(A53="","",IF(INDEX(QueryData[Capture status],MATCH(SUBSTITUTE(SUBSTITUTE(SUBSTITUTE(A53,"~","~~"),"*","~*"),"?","~?"),QueryData[Query ID],0))&lt;&gt;"Ready","",SUMIFS(RecordData[Seed A],RecordData[Query ID],"="&amp;SUBSTITUTE(SUBSTITUTE(SUBSTITUTE(A53,"~","~~"),"*","~*"),"?","~?"))))</x:f>
      </x:c>
      <x:c r="N53" s="11" t="str">
        <x:f>IF(A53="","",IF(INDEX(QueryData[Capture status],MATCH(SUBSTITUTE(SUBSTITUTE(SUBSTITUTE(A53,"~","~~"),"*","~*"),"?","~?"),QueryData[Query ID],0))&lt;&gt;"Ready","",SUMIFS(RecordData[Seed B],RecordData[Query ID],"="&amp;SUBSTITUTE(SUBSTITUTE(SUBSTITUTE(A53,"~","~~"),"*","~*"),"?","~?"))))</x:f>
      </x:c>
      <x:c r="O53" s="18" t="str">
        <x:f>IF(A53="","",IF(INDEX(QueryData[Capture status],MATCH(SUBSTITUTE(SUBSTITUTE(SUBSTITUTE(A53,"~","~~"),"*","~*"),"?","~?"),QueryData[Query ID],0))&lt;&gt;"Ready","",IF(L53=0,"No seeds specified",M53/L53)))</x:f>
      </x:c>
      <x:c r="P53" s="18" t="str">
        <x:f>IF(A53="","",IF(INDEX(QueryData[Capture status],MATCH(SUBSTITUTE(SUBSTITUTE(SUBSTITUTE(A53,"~","~~"),"*","~*"),"?","~?"),QueryData[Query ID],0))&lt;&gt;"Ready","",IF(L53=0,"No seeds specified",N53/L53)))</x:f>
      </x:c>
      <x:c r="Q53" s="18" t="str">
        <x:f>IF(A53="","",IF(OR(INDEX(QueryData[Capture status],MATCH(SUBSTITUTE(SUBSTITUTE(SUBSTITUTE(A53,"~","~~"),"*","~*"),"?","~?"),QueryData[Query ID],0))&lt;&gt;"Ready",L53=0),"",P53-O53))</x:f>
      </x:c>
    </x:row>
    <x:row r="54" ht="48" customHeight="1">
      <x:c r="A54" s="11" t="str">
        <x:f>IF(Queries!A54="","",Queries!A54)</x:f>
      </x:c>
      <x:c r="B54" s="13" t="str">
        <x:f>IF(A54="","",INDEX(QueryData[Probe],MATCH(SUBSTITUTE(SUBSTITUTE(SUBSTITUTE(A54,"~","~~"),"*","~*"),"?","~?"),QueryData[Query ID],0)))</x:f>
      </x:c>
      <x:c r="C54" s="13" t="str">
        <x:f>IF(A54="","",IF(INDEX(QueryData[Capture status],MATCH(SUBSTITUTE(SUBSTITUTE(SUBSTITUTE(A54,"~","~~"),"*","~*"),"?","~?"),QueryData[Query ID],0))&lt;&gt;"Ready",INDEX(QueryData[Capture status],MATCH(SUBSTITUTE(SUBSTITUTE(SUBSTITUTE(A54,"~","~~"),"*","~*"),"?","~?"),QueryData[Query ID],0)),IF(INDEX(QueryData[Judgement status],MATCH(SUBSTITUTE(SUBSTITUTE(SUBSTITUTE(A54,"~","~~"),"*","~*"),"?","~?"),QueryData[Query ID],0))&lt;&gt;"Judged",INDEX(QueryData[Judgement status],MATCH(SUBSTITUTE(SUBSTITUTE(SUBSTITUTE(A54,"~","~~"),"*","~*"),"?","~?"),QueryData[Query ID],0)),"Ready")))</x:f>
      </x:c>
      <x:c r="D54" s="11" t="str">
        <x:f>IF(A54="","",SUMIFS(RecordData[In A at k],RecordData[Query ID],"="&amp;SUBSTITUTE(SUBSTITUTE(SUBSTITUTE(A54,"~","~~"),"*","~*"),"?","~?")))</x:f>
      </x:c>
      <x:c r="E54" s="11" t="str">
        <x:f>IF(A54="","",SUMIFS(RecordData[In B at k],RecordData[Query ID],"="&amp;SUBSTITUTE(SUBSTITUTE(SUBSTITUTE(A54,"~","~~"),"*","~*"),"?","~?")))</x:f>
      </x:c>
      <x:c r="F54" s="11" t="str">
        <x:f>IF(C54&lt;&gt;"Ready","",SUMIFS(RecordData[Relevant A],RecordData[Query ID],"="&amp;SUBSTITUTE(SUBSTITUTE(SUBSTITUTE(A54,"~","~~"),"*","~*"),"?","~?")))</x:f>
      </x:c>
      <x:c r="G54" s="11" t="str">
        <x:f>IF(C54&lt;&gt;"Ready","",SUMIFS(RecordData[Relevant B],RecordData[Query ID],"="&amp;SUBSTITUTE(SUBSTITUTE(SUBSTITUTE(A54,"~","~~"),"*","~*"),"?","~?")))</x:f>
      </x:c>
      <x:c r="H54" s="11" t="str">
        <x:f>IF(A54="","",$B$4)</x:f>
      </x:c>
      <x:c r="I54" s="18" t="str">
        <x:f>IF(C54&lt;&gt;"Ready","",F54/H54)</x:f>
      </x:c>
      <x:c r="J54" s="18" t="str">
        <x:f>IF(C54&lt;&gt;"Ready","",G54/H54)</x:f>
      </x:c>
      <x:c r="K54" s="18" t="str">
        <x:f>IF(C54&lt;&gt;"Ready","",J54-I54)</x:f>
      </x:c>
      <x:c r="L54" s="11" t="str">
        <x:f>IF(A54="","",SUMIFS(RecordData[Seed total],RecordData[Query ID],"="&amp;SUBSTITUTE(SUBSTITUTE(SUBSTITUTE(A54,"~","~~"),"*","~*"),"?","~?")))</x:f>
      </x:c>
      <x:c r="M54" s="11" t="str">
        <x:f>IF(A54="","",IF(INDEX(QueryData[Capture status],MATCH(SUBSTITUTE(SUBSTITUTE(SUBSTITUTE(A54,"~","~~"),"*","~*"),"?","~?"),QueryData[Query ID],0))&lt;&gt;"Ready","",SUMIFS(RecordData[Seed A],RecordData[Query ID],"="&amp;SUBSTITUTE(SUBSTITUTE(SUBSTITUTE(A54,"~","~~"),"*","~*"),"?","~?"))))</x:f>
      </x:c>
      <x:c r="N54" s="11" t="str">
        <x:f>IF(A54="","",IF(INDEX(QueryData[Capture status],MATCH(SUBSTITUTE(SUBSTITUTE(SUBSTITUTE(A54,"~","~~"),"*","~*"),"?","~?"),QueryData[Query ID],0))&lt;&gt;"Ready","",SUMIFS(RecordData[Seed B],RecordData[Query ID],"="&amp;SUBSTITUTE(SUBSTITUTE(SUBSTITUTE(A54,"~","~~"),"*","~*"),"?","~?"))))</x:f>
      </x:c>
      <x:c r="O54" s="18" t="str">
        <x:f>IF(A54="","",IF(INDEX(QueryData[Capture status],MATCH(SUBSTITUTE(SUBSTITUTE(SUBSTITUTE(A54,"~","~~"),"*","~*"),"?","~?"),QueryData[Query ID],0))&lt;&gt;"Ready","",IF(L54=0,"No seeds specified",M54/L54)))</x:f>
      </x:c>
      <x:c r="P54" s="18" t="str">
        <x:f>IF(A54="","",IF(INDEX(QueryData[Capture status],MATCH(SUBSTITUTE(SUBSTITUTE(SUBSTITUTE(A54,"~","~~"),"*","~*"),"?","~?"),QueryData[Query ID],0))&lt;&gt;"Ready","",IF(L54=0,"No seeds specified",N54/L54)))</x:f>
      </x:c>
      <x:c r="Q54" s="18" t="str">
        <x:f>IF(A54="","",IF(OR(INDEX(QueryData[Capture status],MATCH(SUBSTITUTE(SUBSTITUTE(SUBSTITUTE(A54,"~","~~"),"*","~*"),"?","~?"),QueryData[Query ID],0))&lt;&gt;"Ready",L54=0),"",P54-O54))</x:f>
      </x:c>
    </x:row>
    <x:row r="55" ht="48" customHeight="1">
      <x:c r="A55" s="11" t="str">
        <x:f>IF(Queries!A55="","",Queries!A55)</x:f>
      </x:c>
      <x:c r="B55" s="13" t="str">
        <x:f>IF(A55="","",INDEX(QueryData[Probe],MATCH(SUBSTITUTE(SUBSTITUTE(SUBSTITUTE(A55,"~","~~"),"*","~*"),"?","~?"),QueryData[Query ID],0)))</x:f>
      </x:c>
      <x:c r="C55" s="13" t="str">
        <x:f>IF(A55="","",IF(INDEX(QueryData[Capture status],MATCH(SUBSTITUTE(SUBSTITUTE(SUBSTITUTE(A55,"~","~~"),"*","~*"),"?","~?"),QueryData[Query ID],0))&lt;&gt;"Ready",INDEX(QueryData[Capture status],MATCH(SUBSTITUTE(SUBSTITUTE(SUBSTITUTE(A55,"~","~~"),"*","~*"),"?","~?"),QueryData[Query ID],0)),IF(INDEX(QueryData[Judgement status],MATCH(SUBSTITUTE(SUBSTITUTE(SUBSTITUTE(A55,"~","~~"),"*","~*"),"?","~?"),QueryData[Query ID],0))&lt;&gt;"Judged",INDEX(QueryData[Judgement status],MATCH(SUBSTITUTE(SUBSTITUTE(SUBSTITUTE(A55,"~","~~"),"*","~*"),"?","~?"),QueryData[Query ID],0)),"Ready")))</x:f>
      </x:c>
      <x:c r="D55" s="11" t="str">
        <x:f>IF(A55="","",SUMIFS(RecordData[In A at k],RecordData[Query ID],"="&amp;SUBSTITUTE(SUBSTITUTE(SUBSTITUTE(A55,"~","~~"),"*","~*"),"?","~?")))</x:f>
      </x:c>
      <x:c r="E55" s="11" t="str">
        <x:f>IF(A55="","",SUMIFS(RecordData[In B at k],RecordData[Query ID],"="&amp;SUBSTITUTE(SUBSTITUTE(SUBSTITUTE(A55,"~","~~"),"*","~*"),"?","~?")))</x:f>
      </x:c>
      <x:c r="F55" s="11" t="str">
        <x:f>IF(C55&lt;&gt;"Ready","",SUMIFS(RecordData[Relevant A],RecordData[Query ID],"="&amp;SUBSTITUTE(SUBSTITUTE(SUBSTITUTE(A55,"~","~~"),"*","~*"),"?","~?")))</x:f>
      </x:c>
      <x:c r="G55" s="11" t="str">
        <x:f>IF(C55&lt;&gt;"Ready","",SUMIFS(RecordData[Relevant B],RecordData[Query ID],"="&amp;SUBSTITUTE(SUBSTITUTE(SUBSTITUTE(A55,"~","~~"),"*","~*"),"?","~?")))</x:f>
      </x:c>
      <x:c r="H55" s="11" t="str">
        <x:f>IF(A55="","",$B$4)</x:f>
      </x:c>
      <x:c r="I55" s="18" t="str">
        <x:f>IF(C55&lt;&gt;"Ready","",F55/H55)</x:f>
      </x:c>
      <x:c r="J55" s="18" t="str">
        <x:f>IF(C55&lt;&gt;"Ready","",G55/H55)</x:f>
      </x:c>
      <x:c r="K55" s="18" t="str">
        <x:f>IF(C55&lt;&gt;"Ready","",J55-I55)</x:f>
      </x:c>
      <x:c r="L55" s="11" t="str">
        <x:f>IF(A55="","",SUMIFS(RecordData[Seed total],RecordData[Query ID],"="&amp;SUBSTITUTE(SUBSTITUTE(SUBSTITUTE(A55,"~","~~"),"*","~*"),"?","~?")))</x:f>
      </x:c>
      <x:c r="M55" s="11" t="str">
        <x:f>IF(A55="","",IF(INDEX(QueryData[Capture status],MATCH(SUBSTITUTE(SUBSTITUTE(SUBSTITUTE(A55,"~","~~"),"*","~*"),"?","~?"),QueryData[Query ID],0))&lt;&gt;"Ready","",SUMIFS(RecordData[Seed A],RecordData[Query ID],"="&amp;SUBSTITUTE(SUBSTITUTE(SUBSTITUTE(A55,"~","~~"),"*","~*"),"?","~?"))))</x:f>
      </x:c>
      <x:c r="N55" s="11" t="str">
        <x:f>IF(A55="","",IF(INDEX(QueryData[Capture status],MATCH(SUBSTITUTE(SUBSTITUTE(SUBSTITUTE(A55,"~","~~"),"*","~*"),"?","~?"),QueryData[Query ID],0))&lt;&gt;"Ready","",SUMIFS(RecordData[Seed B],RecordData[Query ID],"="&amp;SUBSTITUTE(SUBSTITUTE(SUBSTITUTE(A55,"~","~~"),"*","~*"),"?","~?"))))</x:f>
      </x:c>
      <x:c r="O55" s="18" t="str">
        <x:f>IF(A55="","",IF(INDEX(QueryData[Capture status],MATCH(SUBSTITUTE(SUBSTITUTE(SUBSTITUTE(A55,"~","~~"),"*","~*"),"?","~?"),QueryData[Query ID],0))&lt;&gt;"Ready","",IF(L55=0,"No seeds specified",M55/L55)))</x:f>
      </x:c>
      <x:c r="P55" s="18" t="str">
        <x:f>IF(A55="","",IF(INDEX(QueryData[Capture status],MATCH(SUBSTITUTE(SUBSTITUTE(SUBSTITUTE(A55,"~","~~"),"*","~*"),"?","~?"),QueryData[Query ID],0))&lt;&gt;"Ready","",IF(L55=0,"No seeds specified",N55/L55)))</x:f>
      </x:c>
      <x:c r="Q55" s="18" t="str">
        <x:f>IF(A55="","",IF(OR(INDEX(QueryData[Capture status],MATCH(SUBSTITUTE(SUBSTITUTE(SUBSTITUTE(A55,"~","~~"),"*","~*"),"?","~?"),QueryData[Query ID],0))&lt;&gt;"Ready",L55=0),"",P55-O55))</x:f>
      </x:c>
    </x:row>
  </x:sheetData>
  <x:conditionalFormatting sqref="K6:K55">
    <x:cfRule type="cellIs" dxfId="0" priority="1" operator="lessThan">
      <x:formula>0</x:formula>
    </x:cfRule>
  </x:conditionalFormatting>
  <x:conditionalFormatting sqref="Q6:Q55">
    <x:cfRule type="cellIs" dxfId="1" priority="2" operator="lessThan">
      <x:formula>0</x:formula>
    </x:cfRule>
  </x:conditionalFormatting>
  <x:conditionalFormatting sqref="C6:C55">
    <x:cfRule type="expression" dxfId="2" priority="3">
      <x:formula>AND($A6&lt;&gt;"",$C6&lt;&gt;"Ready")</x:formula>
    </x:cfRule>
  </x:conditionalFormatting>
  <x:dataValidations count="1">
    <x:dataValidation type="list" sqref="B4">
      <x:formula1>"10,20"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1cd96a2619465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45" hidden="0" customWidth="1"/>
    <x:col min="3" max="3" width="48" hidden="0" customWidth="1"/>
    <x:col min="4" max="4" width="27" hidden="0" customWidth="1"/>
    <x:col min="5" max="5" width="35" hidden="0" customWidth="1"/>
    <x:col min="6" max="6" width="25" hidden="0" customWidth="1"/>
    <x:col min="7" max="7" width="35" hidden="0" customWidth="1"/>
    <x:col min="8" max="8" width="25" hidden="0" customWidth="1"/>
    <x:col min="9" max="9" width="15" hidden="0" customWidth="1"/>
    <x:col min="10" max="10" width="17" hidden="0" customWidth="1"/>
    <x:col min="11" max="11" width="14" hidden="0" customWidth="1"/>
    <x:col min="12" max="12" width="15" hidden="0" customWidth="1"/>
    <x:col min="13" max="13" width="17" hidden="0" customWidth="1"/>
    <x:col min="14" max="14" width="14" hidden="0" customWidth="1"/>
    <x:col min="15" max="15" width="38" hidden="0" customWidth="1"/>
    <x:col min="16" max="16" width="38" hidden="0" customWidth="1"/>
    <x:col min="17" max="17" width="38" hidden="0" customWidth="1"/>
    <x:col min="18" max="18" width="38" hidden="0" customWidth="1"/>
    <x:col min="19" max="19" width="38" hidden="0" customWidth="1"/>
    <x:col min="20" max="20" width="45" hidden="0" customWidth="1"/>
    <x:col min="21" max="21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>
      <x:c r="A2" s="2" t="str">
        <x:v>Define and record each query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>
      <x:c r="A3" s="3" t="str">
        <x:v>Use one ID per need. Complete means captured through the stated depth, even for a short or empty result list.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36" customHeight="1">
      <x:c r="A5" s="8" t="str">
        <x:v>Query ID</x:v>
      </x:c>
      <x:c r="B5" s="8" t="str">
        <x:v>Information need</x:v>
      </x:c>
      <x:c r="C5" s="8" t="str">
        <x:v>Relevance criteria</x:v>
      </x:c>
      <x:c r="D5" s="8" t="str">
        <x:v>Probe</x:v>
      </x:c>
      <x:c r="E5" s="8" t="str">
        <x:v>Query A</x:v>
      </x:c>
      <x:c r="F5" s="8" t="str">
        <x:v>Filters A</x:v>
      </x:c>
      <x:c r="G5" s="8" t="str">
        <x:v>Query B</x:v>
      </x:c>
      <x:c r="H5" s="8" t="str">
        <x:v>Filters B</x:v>
      </x:c>
      <x:c r="I5" s="8" t="str">
        <x:v>Capture depth A</x:v>
      </x:c>
      <x:c r="J5" s="8" t="str">
        <x:v>Captured records A</x:v>
      </x:c>
      <x:c r="K5" s="8" t="str">
        <x:v>Complete A</x:v>
      </x:c>
      <x:c r="L5" s="8" t="str">
        <x:v>Capture depth B</x:v>
      </x:c>
      <x:c r="M5" s="8" t="str">
        <x:v>Captured records B</x:v>
      </x:c>
      <x:c r="N5" s="8" t="str">
        <x:v>Complete B</x:v>
      </x:c>
      <x:c r="O5" s="8" t="str">
        <x:v>Explanation</x:v>
      </x:c>
      <x:c r="P5" s="8" t="str">
        <x:v>Alternatives</x:v>
      </x:c>
      <x:c r="Q5" s="8" t="str">
        <x:v>Next check</x:v>
      </x:c>
      <x:c r="R5" s="8" t="str">
        <x:v>Transformed query A or unknown</x:v>
      </x:c>
      <x:c r="S5" s="8" t="str">
        <x:v>Transformed query B or unknown</x:v>
      </x:c>
      <x:c r="T5" s="8" t="str">
        <x:v>Capture status</x:v>
      </x:c>
      <x:c r="U5" s="8" t="str">
        <x:v>Judgement status</x:v>
      </x:c>
    </x:row>
    <x:row r="6" ht="64" customHeight="1">
      <x:c r="A6" s="15" t="str">
        <x:v>EX01</x:v>
      </x:c>
      <x:c r="B6" s="16" t="str">
        <x:v>Recover the stipulated relevant records in Figure 14.1.</x:v>
      </x:c>
      <x:c r="C6" s="12" t="str">
        <x:v>Relevant: A–J. Not relevant: K–T. These labels are stipulated.</x:v>
      </x:c>
      <x:c r="D6" s="12" t="str">
        <x:v>Controlled ranking example</x:v>
      </x:c>
      <x:c r="E6" s="12" t="str">
        <x:v>Same stipulated need</x:v>
      </x:c>
      <x:c r="F6" s="12" t="str">
        <x:v>None</x:v>
      </x:c>
      <x:c r="G6" s="12" t="str">
        <x:v>Same stipulated need</x:v>
      </x:c>
      <x:c r="H6" s="12" t="str">
        <x:v>None</x:v>
      </x:c>
      <x:c r="I6" s="10" t="n">
        <x:v>20</x:v>
      </x:c>
      <x:c r="J6" s="10" t="n">
        <x:v>20</x:v>
      </x:c>
      <x:c r="K6" s="10" t="str">
        <x:v>Yes</x:v>
      </x:c>
      <x:c r="L6" s="10" t="n">
        <x:v>20</x:v>
      </x:c>
      <x:c r="M6" s="10" t="n">
        <x:v>20</x:v>
      </x:c>
      <x:c r="N6" s="10" t="str">
        <x:v>Yes</x:v>
      </x:c>
      <x:c r="O6" s="12" t="str">
        <x:v>Reranking moves relevant records into the first ten.</x:v>
      </x:c>
      <x:c r="P6" s="12" t="str">
        <x:v>No live product or causal diagnosis is claimed.</x:v>
      </x:c>
      <x:c r="Q6" s="12" t="str">
        <x:v>Try k=20: both lists contain the same records.</x:v>
      </x:c>
      <x:c r="R6" s="12" t="str">
        <x:v>Not applicable: controlled example</x:v>
      </x:c>
      <x:c r="S6" s="12" t="str">
        <x:v>Not applicable: controlled example</x:v>
      </x:c>
      <x:c r="T6" s="13" t="str">
        <x:f>IF(A6="","",IF(OR(OR(NOT(ISTEXT(A6)),TRIM(A6)&lt;&gt;A6),COUNTIFS(QueryData[Query ID],"="&amp;SUBSTITUTE(SUBSTITUTE(SUBSTITUTE(A6,"~","~~"),"*","~*"),"?","~?"))&lt;&gt;1),"Fix duplicate or invalid query ID",IF(B6="","Write the information need",IF(C6="","Write relevance criteria",IF(OR(E6="",G6=""),"Record both exact queries",IF(NOT(OR(Comparison!$B$4=10,Comparison!$B$4=20)),"Choose cutoff 10 or 20",IF(Comparison!$N$4&gt;0,"Fix unassigned Records rows",IF(COUNTIFS(RecordData[Query ID],"="&amp;SUBSTITUTE(SUBSTITUTE(SUBSTITUTE(A6,"~","~~"),"*","~*"),"?","~?"),RecordData[Row status],"&lt;&gt;OK")&gt;0,"Fix Records row errors",IF(OR(K6&lt;&gt;"Yes",N6&lt;&gt;"Yes"),"Confirm both captures complete",IF(OR(NOT(ISNUMBER(I6)),NOT(ISNUMBER(L6)),NOT(OR(I6=10,I6=20)),NOT(OR(L6=10,L6=20))),"Record capture depths (10 or 20)",IF(OR(I6&lt;Comparison!$B$4,L6&lt;Comparison!$B$4),"Extend capture to the selected cutoff",IF(OR(IF(ISNUMBER(J6),OR(J6&lt;0,J6&lt;&gt;INT(J6)),TRUE),IF(ISNUMBER(M6),OR(M6&lt;0,M6&lt;&gt;INT(M6)),TRUE)),"Enter captured counts, including zero",IF(OR(COUNTIFS(RecordData[Query ID],"="&amp;SUBSTITUTE(SUBSTITUTE(SUBSTITUTE(A6,"~","~~"),"*","~*"),"?","~?"),RecordData[Rank A],"&gt;0")&lt;&gt;J6,COUNTIFS(RecordData[Query ID],"="&amp;SUBSTITUTE(SUBSTITUTE(SUBSTITUTE(A6,"~","~~"),"*","~*"),"?","~?"),RecordData[Rank B],"&gt;0")&lt;&gt;M6),"Captured counts disagree with Records",IF(OR(COUNTIFS(RecordData[Query ID],"="&amp;SUBSTITUTE(SUBSTITUTE(SUBSTITUTE(A6,"~","~~"),"*","~*"),"?","~?"),RecordData[Rank A],"&gt;"&amp;I6)&gt;0,COUNTIFS(RecordData[Query ID],"="&amp;SUBSTITUTE(SUBSTITUTE(SUBSTITUTE(A6,"~","~~"),"*","~*"),"?","~?"),RecordData[Rank B],"&gt;"&amp;L6)&gt;0),"Rank exceeds recorded capture depth","Ready"))))))))))))))</x:f>
        <x:v>Ready</x:v>
      </x:c>
      <x:c r="U6" s="13" t="str">
        <x:f>IF(A6="","",IF(SUMIFS(RecordData[Unjudged at k],RecordData[Query ID],"="&amp;SUBSTITUTE(SUBSTITUTE(SUBSTITUTE(A6,"~","~~"),"*","~*"),"?","~?"))&gt;0,"Judge all pooled records at k","Judged"))</x:f>
        <x:v>Judged</x:v>
      </x:c>
    </x:row>
    <x:row r="7" ht="64" customHeight="1">
      <x:c r="A7" s="15"/>
      <x:c r="B7" s="16"/>
      <x:c r="C7" s="12"/>
      <x:c r="D7" s="12"/>
      <x:c r="E7" s="12"/>
      <x:c r="F7" s="12"/>
      <x:c r="G7" s="12"/>
      <x:c r="H7" s="12"/>
      <x:c r="I7" s="10"/>
      <x:c r="J7" s="10"/>
      <x:c r="K7" s="10"/>
      <x:c r="L7" s="10"/>
      <x:c r="M7" s="10"/>
      <x:c r="N7" s="10"/>
      <x:c r="O7" s="12"/>
      <x:c r="P7" s="12"/>
      <x:c r="Q7" s="12"/>
      <x:c r="R7" s="12"/>
      <x:c r="S7" s="12"/>
      <x:c r="T7" s="13" t="str">
        <x:f>IF(A7="","",IF(OR(OR(NOT(ISTEXT(A7)),TRIM(A7)&lt;&gt;A7),COUNTIFS(QueryData[Query ID],"="&amp;SUBSTITUTE(SUBSTITUTE(SUBSTITUTE(A7,"~","~~"),"*","~*"),"?","~?"))&lt;&gt;1),"Fix duplicate or invalid query ID",IF(B7="","Write the information need",IF(C7="","Write relevance criteria",IF(OR(E7="",G7=""),"Record both exact queries",IF(NOT(OR(Comparison!$B$4=10,Comparison!$B$4=20)),"Choose cutoff 10 or 20",IF(Comparison!$N$4&gt;0,"Fix unassigned Records rows",IF(COUNTIFS(RecordData[Query ID],"="&amp;SUBSTITUTE(SUBSTITUTE(SUBSTITUTE(A7,"~","~~"),"*","~*"),"?","~?"),RecordData[Row status],"&lt;&gt;OK")&gt;0,"Fix Records row errors",IF(OR(K7&lt;&gt;"Yes",N7&lt;&gt;"Yes"),"Confirm both captures complete",IF(OR(NOT(ISNUMBER(I7)),NOT(ISNUMBER(L7)),NOT(OR(I7=10,I7=20)),NOT(OR(L7=10,L7=20))),"Record capture depths (10 or 20)",IF(OR(I7&lt;Comparison!$B$4,L7&lt;Comparison!$B$4),"Extend capture to the selected cutoff",IF(OR(IF(ISNUMBER(J7),OR(J7&lt;0,J7&lt;&gt;INT(J7)),TRUE),IF(ISNUMBER(M7),OR(M7&lt;0,M7&lt;&gt;INT(M7)),TRUE)),"Enter captured counts, including zero",IF(OR(COUNTIFS(RecordData[Query ID],"="&amp;SUBSTITUTE(SUBSTITUTE(SUBSTITUTE(A7,"~","~~"),"*","~*"),"?","~?"),RecordData[Rank A],"&gt;0")&lt;&gt;J7,COUNTIFS(RecordData[Query ID],"="&amp;SUBSTITUTE(SUBSTITUTE(SUBSTITUTE(A7,"~","~~"),"*","~*"),"?","~?"),RecordData[Rank B],"&gt;0")&lt;&gt;M7),"Captured counts disagree with Records",IF(OR(COUNTIFS(RecordData[Query ID],"="&amp;SUBSTITUTE(SUBSTITUTE(SUBSTITUTE(A7,"~","~~"),"*","~*"),"?","~?"),RecordData[Rank A],"&gt;"&amp;I7)&gt;0,COUNTIFS(RecordData[Query ID],"="&amp;SUBSTITUTE(SUBSTITUTE(SUBSTITUTE(A7,"~","~~"),"*","~*"),"?","~?"),RecordData[Rank B],"&gt;"&amp;L7)&gt;0),"Rank exceeds recorded capture depth","Ready"))))))))))))))</x:f>
      </x:c>
      <x:c r="U7" s="13" t="str">
        <x:f>IF(A7="","",IF(SUMIFS(RecordData[Unjudged at k],RecordData[Query ID],"="&amp;SUBSTITUTE(SUBSTITUTE(SUBSTITUTE(A7,"~","~~"),"*","~*"),"?","~?"))&gt;0,"Judge all pooled records at k","Judged"))</x:f>
      </x:c>
    </x:row>
    <x:row r="8" ht="64" customHeight="1">
      <x:c r="A8" s="15"/>
      <x:c r="B8" s="16"/>
      <x:c r="C8" s="12"/>
      <x:c r="D8" s="12"/>
      <x:c r="E8" s="12"/>
      <x:c r="F8" s="12"/>
      <x:c r="G8" s="12"/>
      <x:c r="H8" s="12"/>
      <x:c r="I8" s="10"/>
      <x:c r="J8" s="10"/>
      <x:c r="K8" s="10"/>
      <x:c r="L8" s="10"/>
      <x:c r="M8" s="10"/>
      <x:c r="N8" s="10"/>
      <x:c r="O8" s="12"/>
      <x:c r="P8" s="12"/>
      <x:c r="Q8" s="12"/>
      <x:c r="R8" s="12"/>
      <x:c r="S8" s="12"/>
      <x:c r="T8" s="13" t="str">
        <x:f>IF(A8="","",IF(OR(OR(NOT(ISTEXT(A8)),TRIM(A8)&lt;&gt;A8),COUNTIFS(QueryData[Query ID],"="&amp;SUBSTITUTE(SUBSTITUTE(SUBSTITUTE(A8,"~","~~"),"*","~*"),"?","~?"))&lt;&gt;1),"Fix duplicate or invalid query ID",IF(B8="","Write the information need",IF(C8="","Write relevance criteria",IF(OR(E8="",G8=""),"Record both exact queries",IF(NOT(OR(Comparison!$B$4=10,Comparison!$B$4=20)),"Choose cutoff 10 or 20",IF(Comparison!$N$4&gt;0,"Fix unassigned Records rows",IF(COUNTIFS(RecordData[Query ID],"="&amp;SUBSTITUTE(SUBSTITUTE(SUBSTITUTE(A8,"~","~~"),"*","~*"),"?","~?"),RecordData[Row status],"&lt;&gt;OK")&gt;0,"Fix Records row errors",IF(OR(K8&lt;&gt;"Yes",N8&lt;&gt;"Yes"),"Confirm both captures complete",IF(OR(NOT(ISNUMBER(I8)),NOT(ISNUMBER(L8)),NOT(OR(I8=10,I8=20)),NOT(OR(L8=10,L8=20))),"Record capture depths (10 or 20)",IF(OR(I8&lt;Comparison!$B$4,L8&lt;Comparison!$B$4),"Extend capture to the selected cutoff",IF(OR(IF(ISNUMBER(J8),OR(J8&lt;0,J8&lt;&gt;INT(J8)),TRUE),IF(ISNUMBER(M8),OR(M8&lt;0,M8&lt;&gt;INT(M8)),TRUE)),"Enter captured counts, including zero",IF(OR(COUNTIFS(RecordData[Query ID],"="&amp;SUBSTITUTE(SUBSTITUTE(SUBSTITUTE(A8,"~","~~"),"*","~*"),"?","~?"),RecordData[Rank A],"&gt;0")&lt;&gt;J8,COUNTIFS(RecordData[Query ID],"="&amp;SUBSTITUTE(SUBSTITUTE(SUBSTITUTE(A8,"~","~~"),"*","~*"),"?","~?"),RecordData[Rank B],"&gt;0")&lt;&gt;M8),"Captured counts disagree with Records",IF(OR(COUNTIFS(RecordData[Query ID],"="&amp;SUBSTITUTE(SUBSTITUTE(SUBSTITUTE(A8,"~","~~"),"*","~*"),"?","~?"),RecordData[Rank A],"&gt;"&amp;I8)&gt;0,COUNTIFS(RecordData[Query ID],"="&amp;SUBSTITUTE(SUBSTITUTE(SUBSTITUTE(A8,"~","~~"),"*","~*"),"?","~?"),RecordData[Rank B],"&gt;"&amp;L8)&gt;0),"Rank exceeds recorded capture depth","Ready"))))))))))))))</x:f>
      </x:c>
      <x:c r="U8" s="13" t="str">
        <x:f>IF(A8="","",IF(SUMIFS(RecordData[Unjudged at k],RecordData[Query ID],"="&amp;SUBSTITUTE(SUBSTITUTE(SUBSTITUTE(A8,"~","~~"),"*","~*"),"?","~?"))&gt;0,"Judge all pooled records at k","Judged"))</x:f>
      </x:c>
    </x:row>
    <x:row r="9" ht="64" customHeight="1">
      <x:c r="A9" s="15"/>
      <x:c r="B9" s="16"/>
      <x:c r="C9" s="12"/>
      <x:c r="D9" s="12"/>
      <x:c r="E9" s="12"/>
      <x:c r="F9" s="12"/>
      <x:c r="G9" s="12"/>
      <x:c r="H9" s="12"/>
      <x:c r="I9" s="10"/>
      <x:c r="J9" s="10"/>
      <x:c r="K9" s="10"/>
      <x:c r="L9" s="10"/>
      <x:c r="M9" s="10"/>
      <x:c r="N9" s="10"/>
      <x:c r="O9" s="12"/>
      <x:c r="P9" s="12"/>
      <x:c r="Q9" s="12"/>
      <x:c r="R9" s="12"/>
      <x:c r="S9" s="12"/>
      <x:c r="T9" s="13" t="str">
        <x:f>IF(A9="","",IF(OR(OR(NOT(ISTEXT(A9)),TRIM(A9)&lt;&gt;A9),COUNTIFS(QueryData[Query ID],"="&amp;SUBSTITUTE(SUBSTITUTE(SUBSTITUTE(A9,"~","~~"),"*","~*"),"?","~?"))&lt;&gt;1),"Fix duplicate or invalid query ID",IF(B9="","Write the information need",IF(C9="","Write relevance criteria",IF(OR(E9="",G9=""),"Record both exact queries",IF(NOT(OR(Comparison!$B$4=10,Comparison!$B$4=20)),"Choose cutoff 10 or 20",IF(Comparison!$N$4&gt;0,"Fix unassigned Records rows",IF(COUNTIFS(RecordData[Query ID],"="&amp;SUBSTITUTE(SUBSTITUTE(SUBSTITUTE(A9,"~","~~"),"*","~*"),"?","~?"),RecordData[Row status],"&lt;&gt;OK")&gt;0,"Fix Records row errors",IF(OR(K9&lt;&gt;"Yes",N9&lt;&gt;"Yes"),"Confirm both captures complete",IF(OR(NOT(ISNUMBER(I9)),NOT(ISNUMBER(L9)),NOT(OR(I9=10,I9=20)),NOT(OR(L9=10,L9=20))),"Record capture depths (10 or 20)",IF(OR(I9&lt;Comparison!$B$4,L9&lt;Comparison!$B$4),"Extend capture to the selected cutoff",IF(OR(IF(ISNUMBER(J9),OR(J9&lt;0,J9&lt;&gt;INT(J9)),TRUE),IF(ISNUMBER(M9),OR(M9&lt;0,M9&lt;&gt;INT(M9)),TRUE)),"Enter captured counts, including zero",IF(OR(COUNTIFS(RecordData[Query ID],"="&amp;SUBSTITUTE(SUBSTITUTE(SUBSTITUTE(A9,"~","~~"),"*","~*"),"?","~?"),RecordData[Rank A],"&gt;0")&lt;&gt;J9,COUNTIFS(RecordData[Query ID],"="&amp;SUBSTITUTE(SUBSTITUTE(SUBSTITUTE(A9,"~","~~"),"*","~*"),"?","~?"),RecordData[Rank B],"&gt;0")&lt;&gt;M9),"Captured counts disagree with Records",IF(OR(COUNTIFS(RecordData[Query ID],"="&amp;SUBSTITUTE(SUBSTITUTE(SUBSTITUTE(A9,"~","~~"),"*","~*"),"?","~?"),RecordData[Rank A],"&gt;"&amp;I9)&gt;0,COUNTIFS(RecordData[Query ID],"="&amp;SUBSTITUTE(SUBSTITUTE(SUBSTITUTE(A9,"~","~~"),"*","~*"),"?","~?"),RecordData[Rank B],"&gt;"&amp;L9)&gt;0),"Rank exceeds recorded capture depth","Ready"))))))))))))))</x:f>
      </x:c>
      <x:c r="U9" s="13" t="str">
        <x:f>IF(A9="","",IF(SUMIFS(RecordData[Unjudged at k],RecordData[Query ID],"="&amp;SUBSTITUTE(SUBSTITUTE(SUBSTITUTE(A9,"~","~~"),"*","~*"),"?","~?"))&gt;0,"Judge all pooled records at k","Judged"))</x:f>
      </x:c>
    </x:row>
    <x:row r="10" ht="64" customHeight="1">
      <x:c r="A10" s="15"/>
      <x:c r="B10" s="16"/>
      <x:c r="C10" s="12"/>
      <x:c r="D10" s="12"/>
      <x:c r="E10" s="12"/>
      <x:c r="F10" s="12"/>
      <x:c r="G10" s="12"/>
      <x:c r="H10" s="12"/>
      <x:c r="I10" s="10"/>
      <x:c r="J10" s="10"/>
      <x:c r="K10" s="10"/>
      <x:c r="L10" s="10"/>
      <x:c r="M10" s="10"/>
      <x:c r="N10" s="10"/>
      <x:c r="O10" s="12"/>
      <x:c r="P10" s="12"/>
      <x:c r="Q10" s="12"/>
      <x:c r="R10" s="12"/>
      <x:c r="S10" s="12"/>
      <x:c r="T10" s="13" t="str">
        <x:f>IF(A10="","",IF(OR(OR(NOT(ISTEXT(A10)),TRIM(A10)&lt;&gt;A10),COUNTIFS(QueryData[Query ID],"="&amp;SUBSTITUTE(SUBSTITUTE(SUBSTITUTE(A10,"~","~~"),"*","~*"),"?","~?"))&lt;&gt;1),"Fix duplicate or invalid query ID",IF(B10="","Write the information need",IF(C10="","Write relevance criteria",IF(OR(E10="",G10=""),"Record both exact queries",IF(NOT(OR(Comparison!$B$4=10,Comparison!$B$4=20)),"Choose cutoff 10 or 20",IF(Comparison!$N$4&gt;0,"Fix unassigned Records rows",IF(COUNTIFS(RecordData[Query ID],"="&amp;SUBSTITUTE(SUBSTITUTE(SUBSTITUTE(A10,"~","~~"),"*","~*"),"?","~?"),RecordData[Row status],"&lt;&gt;OK")&gt;0,"Fix Records row errors",IF(OR(K10&lt;&gt;"Yes",N10&lt;&gt;"Yes"),"Confirm both captures complete",IF(OR(NOT(ISNUMBER(I10)),NOT(ISNUMBER(L10)),NOT(OR(I10=10,I10=20)),NOT(OR(L10=10,L10=20))),"Record capture depths (10 or 20)",IF(OR(I10&lt;Comparison!$B$4,L10&lt;Comparison!$B$4),"Extend capture to the selected cutoff",IF(OR(IF(ISNUMBER(J10),OR(J10&lt;0,J10&lt;&gt;INT(J10)),TRUE),IF(ISNUMBER(M10),OR(M10&lt;0,M10&lt;&gt;INT(M10)),TRUE)),"Enter captured counts, including zero",IF(OR(COUNTIFS(RecordData[Query ID],"="&amp;SUBSTITUTE(SUBSTITUTE(SUBSTITUTE(A10,"~","~~"),"*","~*"),"?","~?"),RecordData[Rank A],"&gt;0")&lt;&gt;J10,COUNTIFS(RecordData[Query ID],"="&amp;SUBSTITUTE(SUBSTITUTE(SUBSTITUTE(A10,"~","~~"),"*","~*"),"?","~?"),RecordData[Rank B],"&gt;0")&lt;&gt;M10),"Captured counts disagree with Records",IF(OR(COUNTIFS(RecordData[Query ID],"="&amp;SUBSTITUTE(SUBSTITUTE(SUBSTITUTE(A10,"~","~~"),"*","~*"),"?","~?"),RecordData[Rank A],"&gt;"&amp;I10)&gt;0,COUNTIFS(RecordData[Query ID],"="&amp;SUBSTITUTE(SUBSTITUTE(SUBSTITUTE(A10,"~","~~"),"*","~*"),"?","~?"),RecordData[Rank B],"&gt;"&amp;L10)&gt;0),"Rank exceeds recorded capture depth","Ready"))))))))))))))</x:f>
      </x:c>
      <x:c r="U10" s="13" t="str">
        <x:f>IF(A10="","",IF(SUMIFS(RecordData[Unjudged at k],RecordData[Query ID],"="&amp;SUBSTITUTE(SUBSTITUTE(SUBSTITUTE(A10,"~","~~"),"*","~*"),"?","~?"))&gt;0,"Judge all pooled records at k","Judged"))</x:f>
      </x:c>
    </x:row>
    <x:row r="11" ht="64" customHeight="1">
      <x:c r="A11" s="15"/>
      <x:c r="B11" s="16"/>
      <x:c r="C11" s="12"/>
      <x:c r="D11" s="12"/>
      <x:c r="E11" s="12"/>
      <x:c r="F11" s="12"/>
      <x:c r="G11" s="12"/>
      <x:c r="H11" s="12"/>
      <x:c r="I11" s="10"/>
      <x:c r="J11" s="10"/>
      <x:c r="K11" s="10"/>
      <x:c r="L11" s="10"/>
      <x:c r="M11" s="10"/>
      <x:c r="N11" s="10"/>
      <x:c r="O11" s="12"/>
      <x:c r="P11" s="12"/>
      <x:c r="Q11" s="12"/>
      <x:c r="R11" s="12"/>
      <x:c r="S11" s="12"/>
      <x:c r="T11" s="13" t="str">
        <x:f>IF(A11="","",IF(OR(OR(NOT(ISTEXT(A11)),TRIM(A11)&lt;&gt;A11),COUNTIFS(QueryData[Query ID],"="&amp;SUBSTITUTE(SUBSTITUTE(SUBSTITUTE(A11,"~","~~"),"*","~*"),"?","~?"))&lt;&gt;1),"Fix duplicate or invalid query ID",IF(B11="","Write the information need",IF(C11="","Write relevance criteria",IF(OR(E11="",G11=""),"Record both exact queries",IF(NOT(OR(Comparison!$B$4=10,Comparison!$B$4=20)),"Choose cutoff 10 or 20",IF(Comparison!$N$4&gt;0,"Fix unassigned Records rows",IF(COUNTIFS(RecordData[Query ID],"="&amp;SUBSTITUTE(SUBSTITUTE(SUBSTITUTE(A11,"~","~~"),"*","~*"),"?","~?"),RecordData[Row status],"&lt;&gt;OK")&gt;0,"Fix Records row errors",IF(OR(K11&lt;&gt;"Yes",N11&lt;&gt;"Yes"),"Confirm both captures complete",IF(OR(NOT(ISNUMBER(I11)),NOT(ISNUMBER(L11)),NOT(OR(I11=10,I11=20)),NOT(OR(L11=10,L11=20))),"Record capture depths (10 or 20)",IF(OR(I11&lt;Comparison!$B$4,L11&lt;Comparison!$B$4),"Extend capture to the selected cutoff",IF(OR(IF(ISNUMBER(J11),OR(J11&lt;0,J11&lt;&gt;INT(J11)),TRUE),IF(ISNUMBER(M11),OR(M11&lt;0,M11&lt;&gt;INT(M11)),TRUE)),"Enter captured counts, including zero",IF(OR(COUNTIFS(RecordData[Query ID],"="&amp;SUBSTITUTE(SUBSTITUTE(SUBSTITUTE(A11,"~","~~"),"*","~*"),"?","~?"),RecordData[Rank A],"&gt;0")&lt;&gt;J11,COUNTIFS(RecordData[Query ID],"="&amp;SUBSTITUTE(SUBSTITUTE(SUBSTITUTE(A11,"~","~~"),"*","~*"),"?","~?"),RecordData[Rank B],"&gt;0")&lt;&gt;M11),"Captured counts disagree with Records",IF(OR(COUNTIFS(RecordData[Query ID],"="&amp;SUBSTITUTE(SUBSTITUTE(SUBSTITUTE(A11,"~","~~"),"*","~*"),"?","~?"),RecordData[Rank A],"&gt;"&amp;I11)&gt;0,COUNTIFS(RecordData[Query ID],"="&amp;SUBSTITUTE(SUBSTITUTE(SUBSTITUTE(A11,"~","~~"),"*","~*"),"?","~?"),RecordData[Rank B],"&gt;"&amp;L11)&gt;0),"Rank exceeds recorded capture depth","Ready"))))))))))))))</x:f>
      </x:c>
      <x:c r="U11" s="13" t="str">
        <x:f>IF(A11="","",IF(SUMIFS(RecordData[Unjudged at k],RecordData[Query ID],"="&amp;SUBSTITUTE(SUBSTITUTE(SUBSTITUTE(A11,"~","~~"),"*","~*"),"?","~?"))&gt;0,"Judge all pooled records at k","Judged"))</x:f>
      </x:c>
    </x:row>
    <x:row r="12" ht="64" customHeight="1">
      <x:c r="A12" s="15"/>
      <x:c r="B12" s="16"/>
      <x:c r="C12" s="12"/>
      <x:c r="D12" s="12"/>
      <x:c r="E12" s="12"/>
      <x:c r="F12" s="12"/>
      <x:c r="G12" s="12"/>
      <x:c r="H12" s="12"/>
      <x:c r="I12" s="10"/>
      <x:c r="J12" s="10"/>
      <x:c r="K12" s="10"/>
      <x:c r="L12" s="10"/>
      <x:c r="M12" s="10"/>
      <x:c r="N12" s="10"/>
      <x:c r="O12" s="12"/>
      <x:c r="P12" s="12"/>
      <x:c r="Q12" s="12"/>
      <x:c r="R12" s="12"/>
      <x:c r="S12" s="12"/>
      <x:c r="T12" s="13" t="str">
        <x:f>IF(A12="","",IF(OR(OR(NOT(ISTEXT(A12)),TRIM(A12)&lt;&gt;A12),COUNTIFS(QueryData[Query ID],"="&amp;SUBSTITUTE(SUBSTITUTE(SUBSTITUTE(A12,"~","~~"),"*","~*"),"?","~?"))&lt;&gt;1),"Fix duplicate or invalid query ID",IF(B12="","Write the information need",IF(C12="","Write relevance criteria",IF(OR(E12="",G12=""),"Record both exact queries",IF(NOT(OR(Comparison!$B$4=10,Comparison!$B$4=20)),"Choose cutoff 10 or 20",IF(Comparison!$N$4&gt;0,"Fix unassigned Records rows",IF(COUNTIFS(RecordData[Query ID],"="&amp;SUBSTITUTE(SUBSTITUTE(SUBSTITUTE(A12,"~","~~"),"*","~*"),"?","~?"),RecordData[Row status],"&lt;&gt;OK")&gt;0,"Fix Records row errors",IF(OR(K12&lt;&gt;"Yes",N12&lt;&gt;"Yes"),"Confirm both captures complete",IF(OR(NOT(ISNUMBER(I12)),NOT(ISNUMBER(L12)),NOT(OR(I12=10,I12=20)),NOT(OR(L12=10,L12=20))),"Record capture depths (10 or 20)",IF(OR(I12&lt;Comparison!$B$4,L12&lt;Comparison!$B$4),"Extend capture to the selected cutoff",IF(OR(IF(ISNUMBER(J12),OR(J12&lt;0,J12&lt;&gt;INT(J12)),TRUE),IF(ISNUMBER(M12),OR(M12&lt;0,M12&lt;&gt;INT(M12)),TRUE)),"Enter captured counts, including zero",IF(OR(COUNTIFS(RecordData[Query ID],"="&amp;SUBSTITUTE(SUBSTITUTE(SUBSTITUTE(A12,"~","~~"),"*","~*"),"?","~?"),RecordData[Rank A],"&gt;0")&lt;&gt;J12,COUNTIFS(RecordData[Query ID],"="&amp;SUBSTITUTE(SUBSTITUTE(SUBSTITUTE(A12,"~","~~"),"*","~*"),"?","~?"),RecordData[Rank B],"&gt;0")&lt;&gt;M12),"Captured counts disagree with Records",IF(OR(COUNTIFS(RecordData[Query ID],"="&amp;SUBSTITUTE(SUBSTITUTE(SUBSTITUTE(A12,"~","~~"),"*","~*"),"?","~?"),RecordData[Rank A],"&gt;"&amp;I12)&gt;0,COUNTIFS(RecordData[Query ID],"="&amp;SUBSTITUTE(SUBSTITUTE(SUBSTITUTE(A12,"~","~~"),"*","~*"),"?","~?"),RecordData[Rank B],"&gt;"&amp;L12)&gt;0),"Rank exceeds recorded capture depth","Ready"))))))))))))))</x:f>
      </x:c>
      <x:c r="U12" s="13" t="str">
        <x:f>IF(A12="","",IF(SUMIFS(RecordData[Unjudged at k],RecordData[Query ID],"="&amp;SUBSTITUTE(SUBSTITUTE(SUBSTITUTE(A12,"~","~~"),"*","~*"),"?","~?"))&gt;0,"Judge all pooled records at k","Judged"))</x:f>
      </x:c>
    </x:row>
    <x:row r="13" ht="64" customHeight="1">
      <x:c r="A13" s="15"/>
      <x:c r="B13" s="16"/>
      <x:c r="C13" s="12"/>
      <x:c r="D13" s="12"/>
      <x:c r="E13" s="12"/>
      <x:c r="F13" s="12"/>
      <x:c r="G13" s="12"/>
      <x:c r="H13" s="12"/>
      <x:c r="I13" s="10"/>
      <x:c r="J13" s="10"/>
      <x:c r="K13" s="10"/>
      <x:c r="L13" s="10"/>
      <x:c r="M13" s="10"/>
      <x:c r="N13" s="10"/>
      <x:c r="O13" s="12"/>
      <x:c r="P13" s="12"/>
      <x:c r="Q13" s="12"/>
      <x:c r="R13" s="12"/>
      <x:c r="S13" s="12"/>
      <x:c r="T13" s="13" t="str">
        <x:f>IF(A13="","",IF(OR(OR(NOT(ISTEXT(A13)),TRIM(A13)&lt;&gt;A13),COUNTIFS(QueryData[Query ID],"="&amp;SUBSTITUTE(SUBSTITUTE(SUBSTITUTE(A13,"~","~~"),"*","~*"),"?","~?"))&lt;&gt;1),"Fix duplicate or invalid query ID",IF(B13="","Write the information need",IF(C13="","Write relevance criteria",IF(OR(E13="",G13=""),"Record both exact queries",IF(NOT(OR(Comparison!$B$4=10,Comparison!$B$4=20)),"Choose cutoff 10 or 20",IF(Comparison!$N$4&gt;0,"Fix unassigned Records rows",IF(COUNTIFS(RecordData[Query ID],"="&amp;SUBSTITUTE(SUBSTITUTE(SUBSTITUTE(A13,"~","~~"),"*","~*"),"?","~?"),RecordData[Row status],"&lt;&gt;OK")&gt;0,"Fix Records row errors",IF(OR(K13&lt;&gt;"Yes",N13&lt;&gt;"Yes"),"Confirm both captures complete",IF(OR(NOT(ISNUMBER(I13)),NOT(ISNUMBER(L13)),NOT(OR(I13=10,I13=20)),NOT(OR(L13=10,L13=20))),"Record capture depths (10 or 20)",IF(OR(I13&lt;Comparison!$B$4,L13&lt;Comparison!$B$4),"Extend capture to the selected cutoff",IF(OR(IF(ISNUMBER(J13),OR(J13&lt;0,J13&lt;&gt;INT(J13)),TRUE),IF(ISNUMBER(M13),OR(M13&lt;0,M13&lt;&gt;INT(M13)),TRUE)),"Enter captured counts, including zero",IF(OR(COUNTIFS(RecordData[Query ID],"="&amp;SUBSTITUTE(SUBSTITUTE(SUBSTITUTE(A13,"~","~~"),"*","~*"),"?","~?"),RecordData[Rank A],"&gt;0")&lt;&gt;J13,COUNTIFS(RecordData[Query ID],"="&amp;SUBSTITUTE(SUBSTITUTE(SUBSTITUTE(A13,"~","~~"),"*","~*"),"?","~?"),RecordData[Rank B],"&gt;0")&lt;&gt;M13),"Captured counts disagree with Records",IF(OR(COUNTIFS(RecordData[Query ID],"="&amp;SUBSTITUTE(SUBSTITUTE(SUBSTITUTE(A13,"~","~~"),"*","~*"),"?","~?"),RecordData[Rank A],"&gt;"&amp;I13)&gt;0,COUNTIFS(RecordData[Query ID],"="&amp;SUBSTITUTE(SUBSTITUTE(SUBSTITUTE(A13,"~","~~"),"*","~*"),"?","~?"),RecordData[Rank B],"&gt;"&amp;L13)&gt;0),"Rank exceeds recorded capture depth","Ready"))))))))))))))</x:f>
      </x:c>
      <x:c r="U13" s="13" t="str">
        <x:f>IF(A13="","",IF(SUMIFS(RecordData[Unjudged at k],RecordData[Query ID],"="&amp;SUBSTITUTE(SUBSTITUTE(SUBSTITUTE(A13,"~","~~"),"*","~*"),"?","~?"))&gt;0,"Judge all pooled records at k","Judged"))</x:f>
      </x:c>
    </x:row>
    <x:row r="14" ht="64" customHeight="1">
      <x:c r="A14" s="15"/>
      <x:c r="B14" s="16"/>
      <x:c r="C14" s="12"/>
      <x:c r="D14" s="12"/>
      <x:c r="E14" s="12"/>
      <x:c r="F14" s="12"/>
      <x:c r="G14" s="12"/>
      <x:c r="H14" s="12"/>
      <x:c r="I14" s="10"/>
      <x:c r="J14" s="10"/>
      <x:c r="K14" s="10"/>
      <x:c r="L14" s="10"/>
      <x:c r="M14" s="10"/>
      <x:c r="N14" s="10"/>
      <x:c r="O14" s="12"/>
      <x:c r="P14" s="12"/>
      <x:c r="Q14" s="12"/>
      <x:c r="R14" s="12"/>
      <x:c r="S14" s="12"/>
      <x:c r="T14" s="13" t="str">
        <x:f>IF(A14="","",IF(OR(OR(NOT(ISTEXT(A14)),TRIM(A14)&lt;&gt;A14),COUNTIFS(QueryData[Query ID],"="&amp;SUBSTITUTE(SUBSTITUTE(SUBSTITUTE(A14,"~","~~"),"*","~*"),"?","~?"))&lt;&gt;1),"Fix duplicate or invalid query ID",IF(B14="","Write the information need",IF(C14="","Write relevance criteria",IF(OR(E14="",G14=""),"Record both exact queries",IF(NOT(OR(Comparison!$B$4=10,Comparison!$B$4=20)),"Choose cutoff 10 or 20",IF(Comparison!$N$4&gt;0,"Fix unassigned Records rows",IF(COUNTIFS(RecordData[Query ID],"="&amp;SUBSTITUTE(SUBSTITUTE(SUBSTITUTE(A14,"~","~~"),"*","~*"),"?","~?"),RecordData[Row status],"&lt;&gt;OK")&gt;0,"Fix Records row errors",IF(OR(K14&lt;&gt;"Yes",N14&lt;&gt;"Yes"),"Confirm both captures complete",IF(OR(NOT(ISNUMBER(I14)),NOT(ISNUMBER(L14)),NOT(OR(I14=10,I14=20)),NOT(OR(L14=10,L14=20))),"Record capture depths (10 or 20)",IF(OR(I14&lt;Comparison!$B$4,L14&lt;Comparison!$B$4),"Extend capture to the selected cutoff",IF(OR(IF(ISNUMBER(J14),OR(J14&lt;0,J14&lt;&gt;INT(J14)),TRUE),IF(ISNUMBER(M14),OR(M14&lt;0,M14&lt;&gt;INT(M14)),TRUE)),"Enter captured counts, including zero",IF(OR(COUNTIFS(RecordData[Query ID],"="&amp;SUBSTITUTE(SUBSTITUTE(SUBSTITUTE(A14,"~","~~"),"*","~*"),"?","~?"),RecordData[Rank A],"&gt;0")&lt;&gt;J14,COUNTIFS(RecordData[Query ID],"="&amp;SUBSTITUTE(SUBSTITUTE(SUBSTITUTE(A14,"~","~~"),"*","~*"),"?","~?"),RecordData[Rank B],"&gt;0")&lt;&gt;M14),"Captured counts disagree with Records",IF(OR(COUNTIFS(RecordData[Query ID],"="&amp;SUBSTITUTE(SUBSTITUTE(SUBSTITUTE(A14,"~","~~"),"*","~*"),"?","~?"),RecordData[Rank A],"&gt;"&amp;I14)&gt;0,COUNTIFS(RecordData[Query ID],"="&amp;SUBSTITUTE(SUBSTITUTE(SUBSTITUTE(A14,"~","~~"),"*","~*"),"?","~?"),RecordData[Rank B],"&gt;"&amp;L14)&gt;0),"Rank exceeds recorded capture depth","Ready"))))))))))))))</x:f>
      </x:c>
      <x:c r="U14" s="13" t="str">
        <x:f>IF(A14="","",IF(SUMIFS(RecordData[Unjudged at k],RecordData[Query ID],"="&amp;SUBSTITUTE(SUBSTITUTE(SUBSTITUTE(A14,"~","~~"),"*","~*"),"?","~?"))&gt;0,"Judge all pooled records at k","Judged"))</x:f>
      </x:c>
    </x:row>
    <x:row r="15" ht="64" customHeight="1">
      <x:c r="A15" s="15"/>
      <x:c r="B15" s="16"/>
      <x:c r="C15" s="12"/>
      <x:c r="D15" s="12"/>
      <x:c r="E15" s="12"/>
      <x:c r="F15" s="12"/>
      <x:c r="G15" s="12"/>
      <x:c r="H15" s="12"/>
      <x:c r="I15" s="10"/>
      <x:c r="J15" s="10"/>
      <x:c r="K15" s="10"/>
      <x:c r="L15" s="10"/>
      <x:c r="M15" s="10"/>
      <x:c r="N15" s="10"/>
      <x:c r="O15" s="12"/>
      <x:c r="P15" s="12"/>
      <x:c r="Q15" s="12"/>
      <x:c r="R15" s="12"/>
      <x:c r="S15" s="12"/>
      <x:c r="T15" s="13" t="str">
        <x:f>IF(A15="","",IF(OR(OR(NOT(ISTEXT(A15)),TRIM(A15)&lt;&gt;A15),COUNTIFS(QueryData[Query ID],"="&amp;SUBSTITUTE(SUBSTITUTE(SUBSTITUTE(A15,"~","~~"),"*","~*"),"?","~?"))&lt;&gt;1),"Fix duplicate or invalid query ID",IF(B15="","Write the information need",IF(C15="","Write relevance criteria",IF(OR(E15="",G15=""),"Record both exact queries",IF(NOT(OR(Comparison!$B$4=10,Comparison!$B$4=20)),"Choose cutoff 10 or 20",IF(Comparison!$N$4&gt;0,"Fix unassigned Records rows",IF(COUNTIFS(RecordData[Query ID],"="&amp;SUBSTITUTE(SUBSTITUTE(SUBSTITUTE(A15,"~","~~"),"*","~*"),"?","~?"),RecordData[Row status],"&lt;&gt;OK")&gt;0,"Fix Records row errors",IF(OR(K15&lt;&gt;"Yes",N15&lt;&gt;"Yes"),"Confirm both captures complete",IF(OR(NOT(ISNUMBER(I15)),NOT(ISNUMBER(L15)),NOT(OR(I15=10,I15=20)),NOT(OR(L15=10,L15=20))),"Record capture depths (10 or 20)",IF(OR(I15&lt;Comparison!$B$4,L15&lt;Comparison!$B$4),"Extend capture to the selected cutoff",IF(OR(IF(ISNUMBER(J15),OR(J15&lt;0,J15&lt;&gt;INT(J15)),TRUE),IF(ISNUMBER(M15),OR(M15&lt;0,M15&lt;&gt;INT(M15)),TRUE)),"Enter captured counts, including zero",IF(OR(COUNTIFS(RecordData[Query ID],"="&amp;SUBSTITUTE(SUBSTITUTE(SUBSTITUTE(A15,"~","~~"),"*","~*"),"?","~?"),RecordData[Rank A],"&gt;0")&lt;&gt;J15,COUNTIFS(RecordData[Query ID],"="&amp;SUBSTITUTE(SUBSTITUTE(SUBSTITUTE(A15,"~","~~"),"*","~*"),"?","~?"),RecordData[Rank B],"&gt;0")&lt;&gt;M15),"Captured counts disagree with Records",IF(OR(COUNTIFS(RecordData[Query ID],"="&amp;SUBSTITUTE(SUBSTITUTE(SUBSTITUTE(A15,"~","~~"),"*","~*"),"?","~?"),RecordData[Rank A],"&gt;"&amp;I15)&gt;0,COUNTIFS(RecordData[Query ID],"="&amp;SUBSTITUTE(SUBSTITUTE(SUBSTITUTE(A15,"~","~~"),"*","~*"),"?","~?"),RecordData[Rank B],"&gt;"&amp;L15)&gt;0),"Rank exceeds recorded capture depth","Ready"))))))))))))))</x:f>
      </x:c>
      <x:c r="U15" s="13" t="str">
        <x:f>IF(A15="","",IF(SUMIFS(RecordData[Unjudged at k],RecordData[Query ID],"="&amp;SUBSTITUTE(SUBSTITUTE(SUBSTITUTE(A15,"~","~~"),"*","~*"),"?","~?"))&gt;0,"Judge all pooled records at k","Judged"))</x:f>
      </x:c>
    </x:row>
    <x:row r="16" ht="64" customHeight="1">
      <x:c r="A16" s="15"/>
      <x:c r="B16" s="16"/>
      <x:c r="C16" s="12"/>
      <x:c r="D16" s="12"/>
      <x:c r="E16" s="12"/>
      <x:c r="F16" s="12"/>
      <x:c r="G16" s="12"/>
      <x:c r="H16" s="12"/>
      <x:c r="I16" s="10"/>
      <x:c r="J16" s="10"/>
      <x:c r="K16" s="10"/>
      <x:c r="L16" s="10"/>
      <x:c r="M16" s="10"/>
      <x:c r="N16" s="10"/>
      <x:c r="O16" s="12"/>
      <x:c r="P16" s="12"/>
      <x:c r="Q16" s="12"/>
      <x:c r="R16" s="12"/>
      <x:c r="S16" s="12"/>
      <x:c r="T16" s="13" t="str">
        <x:f>IF(A16="","",IF(OR(OR(NOT(ISTEXT(A16)),TRIM(A16)&lt;&gt;A16),COUNTIFS(QueryData[Query ID],"="&amp;SUBSTITUTE(SUBSTITUTE(SUBSTITUTE(A16,"~","~~"),"*","~*"),"?","~?"))&lt;&gt;1),"Fix duplicate or invalid query ID",IF(B16="","Write the information need",IF(C16="","Write relevance criteria",IF(OR(E16="",G16=""),"Record both exact queries",IF(NOT(OR(Comparison!$B$4=10,Comparison!$B$4=20)),"Choose cutoff 10 or 20",IF(Comparison!$N$4&gt;0,"Fix unassigned Records rows",IF(COUNTIFS(RecordData[Query ID],"="&amp;SUBSTITUTE(SUBSTITUTE(SUBSTITUTE(A16,"~","~~"),"*","~*"),"?","~?"),RecordData[Row status],"&lt;&gt;OK")&gt;0,"Fix Records row errors",IF(OR(K16&lt;&gt;"Yes",N16&lt;&gt;"Yes"),"Confirm both captures complete",IF(OR(NOT(ISNUMBER(I16)),NOT(ISNUMBER(L16)),NOT(OR(I16=10,I16=20)),NOT(OR(L16=10,L16=20))),"Record capture depths (10 or 20)",IF(OR(I16&lt;Comparison!$B$4,L16&lt;Comparison!$B$4),"Extend capture to the selected cutoff",IF(OR(IF(ISNUMBER(J16),OR(J16&lt;0,J16&lt;&gt;INT(J16)),TRUE),IF(ISNUMBER(M16),OR(M16&lt;0,M16&lt;&gt;INT(M16)),TRUE)),"Enter captured counts, including zero",IF(OR(COUNTIFS(RecordData[Query ID],"="&amp;SUBSTITUTE(SUBSTITUTE(SUBSTITUTE(A16,"~","~~"),"*","~*"),"?","~?"),RecordData[Rank A],"&gt;0")&lt;&gt;J16,COUNTIFS(RecordData[Query ID],"="&amp;SUBSTITUTE(SUBSTITUTE(SUBSTITUTE(A16,"~","~~"),"*","~*"),"?","~?"),RecordData[Rank B],"&gt;0")&lt;&gt;M16),"Captured counts disagree with Records",IF(OR(COUNTIFS(RecordData[Query ID],"="&amp;SUBSTITUTE(SUBSTITUTE(SUBSTITUTE(A16,"~","~~"),"*","~*"),"?","~?"),RecordData[Rank A],"&gt;"&amp;I16)&gt;0,COUNTIFS(RecordData[Query ID],"="&amp;SUBSTITUTE(SUBSTITUTE(SUBSTITUTE(A16,"~","~~"),"*","~*"),"?","~?"),RecordData[Rank B],"&gt;"&amp;L16)&gt;0),"Rank exceeds recorded capture depth","Ready"))))))))))))))</x:f>
      </x:c>
      <x:c r="U16" s="13" t="str">
        <x:f>IF(A16="","",IF(SUMIFS(RecordData[Unjudged at k],RecordData[Query ID],"="&amp;SUBSTITUTE(SUBSTITUTE(SUBSTITUTE(A16,"~","~~"),"*","~*"),"?","~?"))&gt;0,"Judge all pooled records at k","Judged"))</x:f>
      </x:c>
    </x:row>
    <x:row r="17" ht="64" customHeight="1">
      <x:c r="A17" s="15"/>
      <x:c r="B17" s="16"/>
      <x:c r="C17" s="12"/>
      <x:c r="D17" s="12"/>
      <x:c r="E17" s="12"/>
      <x:c r="F17" s="12"/>
      <x:c r="G17" s="12"/>
      <x:c r="H17" s="12"/>
      <x:c r="I17" s="10"/>
      <x:c r="J17" s="10"/>
      <x:c r="K17" s="10"/>
      <x:c r="L17" s="10"/>
      <x:c r="M17" s="10"/>
      <x:c r="N17" s="10"/>
      <x:c r="O17" s="12"/>
      <x:c r="P17" s="12"/>
      <x:c r="Q17" s="12"/>
      <x:c r="R17" s="12"/>
      <x:c r="S17" s="12"/>
      <x:c r="T17" s="13" t="str">
        <x:f>IF(A17="","",IF(OR(OR(NOT(ISTEXT(A17)),TRIM(A17)&lt;&gt;A17),COUNTIFS(QueryData[Query ID],"="&amp;SUBSTITUTE(SUBSTITUTE(SUBSTITUTE(A17,"~","~~"),"*","~*"),"?","~?"))&lt;&gt;1),"Fix duplicate or invalid query ID",IF(B17="","Write the information need",IF(C17="","Write relevance criteria",IF(OR(E17="",G17=""),"Record both exact queries",IF(NOT(OR(Comparison!$B$4=10,Comparison!$B$4=20)),"Choose cutoff 10 or 20",IF(Comparison!$N$4&gt;0,"Fix unassigned Records rows",IF(COUNTIFS(RecordData[Query ID],"="&amp;SUBSTITUTE(SUBSTITUTE(SUBSTITUTE(A17,"~","~~"),"*","~*"),"?","~?"),RecordData[Row status],"&lt;&gt;OK")&gt;0,"Fix Records row errors",IF(OR(K17&lt;&gt;"Yes",N17&lt;&gt;"Yes"),"Confirm both captures complete",IF(OR(NOT(ISNUMBER(I17)),NOT(ISNUMBER(L17)),NOT(OR(I17=10,I17=20)),NOT(OR(L17=10,L17=20))),"Record capture depths (10 or 20)",IF(OR(I17&lt;Comparison!$B$4,L17&lt;Comparison!$B$4),"Extend capture to the selected cutoff",IF(OR(IF(ISNUMBER(J17),OR(J17&lt;0,J17&lt;&gt;INT(J17)),TRUE),IF(ISNUMBER(M17),OR(M17&lt;0,M17&lt;&gt;INT(M17)),TRUE)),"Enter captured counts, including zero",IF(OR(COUNTIFS(RecordData[Query ID],"="&amp;SUBSTITUTE(SUBSTITUTE(SUBSTITUTE(A17,"~","~~"),"*","~*"),"?","~?"),RecordData[Rank A],"&gt;0")&lt;&gt;J17,COUNTIFS(RecordData[Query ID],"="&amp;SUBSTITUTE(SUBSTITUTE(SUBSTITUTE(A17,"~","~~"),"*","~*"),"?","~?"),RecordData[Rank B],"&gt;0")&lt;&gt;M17),"Captured counts disagree with Records",IF(OR(COUNTIFS(RecordData[Query ID],"="&amp;SUBSTITUTE(SUBSTITUTE(SUBSTITUTE(A17,"~","~~"),"*","~*"),"?","~?"),RecordData[Rank A],"&gt;"&amp;I17)&gt;0,COUNTIFS(RecordData[Query ID],"="&amp;SUBSTITUTE(SUBSTITUTE(SUBSTITUTE(A17,"~","~~"),"*","~*"),"?","~?"),RecordData[Rank B],"&gt;"&amp;L17)&gt;0),"Rank exceeds recorded capture depth","Ready"))))))))))))))</x:f>
      </x:c>
      <x:c r="U17" s="13" t="str">
        <x:f>IF(A17="","",IF(SUMIFS(RecordData[Unjudged at k],RecordData[Query ID],"="&amp;SUBSTITUTE(SUBSTITUTE(SUBSTITUTE(A17,"~","~~"),"*","~*"),"?","~?"))&gt;0,"Judge all pooled records at k","Judged"))</x:f>
      </x:c>
    </x:row>
    <x:row r="18" ht="64" customHeight="1">
      <x:c r="A18" s="15"/>
      <x:c r="B18" s="16"/>
      <x:c r="C18" s="12"/>
      <x:c r="D18" s="12"/>
      <x:c r="E18" s="12"/>
      <x:c r="F18" s="12"/>
      <x:c r="G18" s="12"/>
      <x:c r="H18" s="12"/>
      <x:c r="I18" s="10"/>
      <x:c r="J18" s="10"/>
      <x:c r="K18" s="10"/>
      <x:c r="L18" s="10"/>
      <x:c r="M18" s="10"/>
      <x:c r="N18" s="10"/>
      <x:c r="O18" s="12"/>
      <x:c r="P18" s="12"/>
      <x:c r="Q18" s="12"/>
      <x:c r="R18" s="12"/>
      <x:c r="S18" s="12"/>
      <x:c r="T18" s="13" t="str">
        <x:f>IF(A18="","",IF(OR(OR(NOT(ISTEXT(A18)),TRIM(A18)&lt;&gt;A18),COUNTIFS(QueryData[Query ID],"="&amp;SUBSTITUTE(SUBSTITUTE(SUBSTITUTE(A18,"~","~~"),"*","~*"),"?","~?"))&lt;&gt;1),"Fix duplicate or invalid query ID",IF(B18="","Write the information need",IF(C18="","Write relevance criteria",IF(OR(E18="",G18=""),"Record both exact queries",IF(NOT(OR(Comparison!$B$4=10,Comparison!$B$4=20)),"Choose cutoff 10 or 20",IF(Comparison!$N$4&gt;0,"Fix unassigned Records rows",IF(COUNTIFS(RecordData[Query ID],"="&amp;SUBSTITUTE(SUBSTITUTE(SUBSTITUTE(A18,"~","~~"),"*","~*"),"?","~?"),RecordData[Row status],"&lt;&gt;OK")&gt;0,"Fix Records row errors",IF(OR(K18&lt;&gt;"Yes",N18&lt;&gt;"Yes"),"Confirm both captures complete",IF(OR(NOT(ISNUMBER(I18)),NOT(ISNUMBER(L18)),NOT(OR(I18=10,I18=20)),NOT(OR(L18=10,L18=20))),"Record capture depths (10 or 20)",IF(OR(I18&lt;Comparison!$B$4,L18&lt;Comparison!$B$4),"Extend capture to the selected cutoff",IF(OR(IF(ISNUMBER(J18),OR(J18&lt;0,J18&lt;&gt;INT(J18)),TRUE),IF(ISNUMBER(M18),OR(M18&lt;0,M18&lt;&gt;INT(M18)),TRUE)),"Enter captured counts, including zero",IF(OR(COUNTIFS(RecordData[Query ID],"="&amp;SUBSTITUTE(SUBSTITUTE(SUBSTITUTE(A18,"~","~~"),"*","~*"),"?","~?"),RecordData[Rank A],"&gt;0")&lt;&gt;J18,COUNTIFS(RecordData[Query ID],"="&amp;SUBSTITUTE(SUBSTITUTE(SUBSTITUTE(A18,"~","~~"),"*","~*"),"?","~?"),RecordData[Rank B],"&gt;0")&lt;&gt;M18),"Captured counts disagree with Records",IF(OR(COUNTIFS(RecordData[Query ID],"="&amp;SUBSTITUTE(SUBSTITUTE(SUBSTITUTE(A18,"~","~~"),"*","~*"),"?","~?"),RecordData[Rank A],"&gt;"&amp;I18)&gt;0,COUNTIFS(RecordData[Query ID],"="&amp;SUBSTITUTE(SUBSTITUTE(SUBSTITUTE(A18,"~","~~"),"*","~*"),"?","~?"),RecordData[Rank B],"&gt;"&amp;L18)&gt;0),"Rank exceeds recorded capture depth","Ready"))))))))))))))</x:f>
      </x:c>
      <x:c r="U18" s="13" t="str">
        <x:f>IF(A18="","",IF(SUMIFS(RecordData[Unjudged at k],RecordData[Query ID],"="&amp;SUBSTITUTE(SUBSTITUTE(SUBSTITUTE(A18,"~","~~"),"*","~*"),"?","~?"))&gt;0,"Judge all pooled records at k","Judged"))</x:f>
      </x:c>
    </x:row>
    <x:row r="19" ht="64" customHeight="1">
      <x:c r="A19" s="15"/>
      <x:c r="B19" s="16"/>
      <x:c r="C19" s="12"/>
      <x:c r="D19" s="12"/>
      <x:c r="E19" s="12"/>
      <x:c r="F19" s="12"/>
      <x:c r="G19" s="12"/>
      <x:c r="H19" s="12"/>
      <x:c r="I19" s="10"/>
      <x:c r="J19" s="10"/>
      <x:c r="K19" s="10"/>
      <x:c r="L19" s="10"/>
      <x:c r="M19" s="10"/>
      <x:c r="N19" s="10"/>
      <x:c r="O19" s="12"/>
      <x:c r="P19" s="12"/>
      <x:c r="Q19" s="12"/>
      <x:c r="R19" s="12"/>
      <x:c r="S19" s="12"/>
      <x:c r="T19" s="13" t="str">
        <x:f>IF(A19="","",IF(OR(OR(NOT(ISTEXT(A19)),TRIM(A19)&lt;&gt;A19),COUNTIFS(QueryData[Query ID],"="&amp;SUBSTITUTE(SUBSTITUTE(SUBSTITUTE(A19,"~","~~"),"*","~*"),"?","~?"))&lt;&gt;1),"Fix duplicate or invalid query ID",IF(B19="","Write the information need",IF(C19="","Write relevance criteria",IF(OR(E19="",G19=""),"Record both exact queries",IF(NOT(OR(Comparison!$B$4=10,Comparison!$B$4=20)),"Choose cutoff 10 or 20",IF(Comparison!$N$4&gt;0,"Fix unassigned Records rows",IF(COUNTIFS(RecordData[Query ID],"="&amp;SUBSTITUTE(SUBSTITUTE(SUBSTITUTE(A19,"~","~~"),"*","~*"),"?","~?"),RecordData[Row status],"&lt;&gt;OK")&gt;0,"Fix Records row errors",IF(OR(K19&lt;&gt;"Yes",N19&lt;&gt;"Yes"),"Confirm both captures complete",IF(OR(NOT(ISNUMBER(I19)),NOT(ISNUMBER(L19)),NOT(OR(I19=10,I19=20)),NOT(OR(L19=10,L19=20))),"Record capture depths (10 or 20)",IF(OR(I19&lt;Comparison!$B$4,L19&lt;Comparison!$B$4),"Extend capture to the selected cutoff",IF(OR(IF(ISNUMBER(J19),OR(J19&lt;0,J19&lt;&gt;INT(J19)),TRUE),IF(ISNUMBER(M19),OR(M19&lt;0,M19&lt;&gt;INT(M19)),TRUE)),"Enter captured counts, including zero",IF(OR(COUNTIFS(RecordData[Query ID],"="&amp;SUBSTITUTE(SUBSTITUTE(SUBSTITUTE(A19,"~","~~"),"*","~*"),"?","~?"),RecordData[Rank A],"&gt;0")&lt;&gt;J19,COUNTIFS(RecordData[Query ID],"="&amp;SUBSTITUTE(SUBSTITUTE(SUBSTITUTE(A19,"~","~~"),"*","~*"),"?","~?"),RecordData[Rank B],"&gt;0")&lt;&gt;M19),"Captured counts disagree with Records",IF(OR(COUNTIFS(RecordData[Query ID],"="&amp;SUBSTITUTE(SUBSTITUTE(SUBSTITUTE(A19,"~","~~"),"*","~*"),"?","~?"),RecordData[Rank A],"&gt;"&amp;I19)&gt;0,COUNTIFS(RecordData[Query ID],"="&amp;SUBSTITUTE(SUBSTITUTE(SUBSTITUTE(A19,"~","~~"),"*","~*"),"?","~?"),RecordData[Rank B],"&gt;"&amp;L19)&gt;0),"Rank exceeds recorded capture depth","Ready"))))))))))))))</x:f>
      </x:c>
      <x:c r="U19" s="13" t="str">
        <x:f>IF(A19="","",IF(SUMIFS(RecordData[Unjudged at k],RecordData[Query ID],"="&amp;SUBSTITUTE(SUBSTITUTE(SUBSTITUTE(A19,"~","~~"),"*","~*"),"?","~?"))&gt;0,"Judge all pooled records at k","Judged"))</x:f>
      </x:c>
    </x:row>
    <x:row r="20" ht="64" customHeight="1">
      <x:c r="A20" s="15"/>
      <x:c r="B20" s="16"/>
      <x:c r="C20" s="12"/>
      <x:c r="D20" s="12"/>
      <x:c r="E20" s="12"/>
      <x:c r="F20" s="12"/>
      <x:c r="G20" s="12"/>
      <x:c r="H20" s="12"/>
      <x:c r="I20" s="10"/>
      <x:c r="J20" s="10"/>
      <x:c r="K20" s="10"/>
      <x:c r="L20" s="10"/>
      <x:c r="M20" s="10"/>
      <x:c r="N20" s="10"/>
      <x:c r="O20" s="12"/>
      <x:c r="P20" s="12"/>
      <x:c r="Q20" s="12"/>
      <x:c r="R20" s="12"/>
      <x:c r="S20" s="12"/>
      <x:c r="T20" s="13" t="str">
        <x:f>IF(A20="","",IF(OR(OR(NOT(ISTEXT(A20)),TRIM(A20)&lt;&gt;A20),COUNTIFS(QueryData[Query ID],"="&amp;SUBSTITUTE(SUBSTITUTE(SUBSTITUTE(A20,"~","~~"),"*","~*"),"?","~?"))&lt;&gt;1),"Fix duplicate or invalid query ID",IF(B20="","Write the information need",IF(C20="","Write relevance criteria",IF(OR(E20="",G20=""),"Record both exact queries",IF(NOT(OR(Comparison!$B$4=10,Comparison!$B$4=20)),"Choose cutoff 10 or 20",IF(Comparison!$N$4&gt;0,"Fix unassigned Records rows",IF(COUNTIFS(RecordData[Query ID],"="&amp;SUBSTITUTE(SUBSTITUTE(SUBSTITUTE(A20,"~","~~"),"*","~*"),"?","~?"),RecordData[Row status],"&lt;&gt;OK")&gt;0,"Fix Records row errors",IF(OR(K20&lt;&gt;"Yes",N20&lt;&gt;"Yes"),"Confirm both captures complete",IF(OR(NOT(ISNUMBER(I20)),NOT(ISNUMBER(L20)),NOT(OR(I20=10,I20=20)),NOT(OR(L20=10,L20=20))),"Record capture depths (10 or 20)",IF(OR(I20&lt;Comparison!$B$4,L20&lt;Comparison!$B$4),"Extend capture to the selected cutoff",IF(OR(IF(ISNUMBER(J20),OR(J20&lt;0,J20&lt;&gt;INT(J20)),TRUE),IF(ISNUMBER(M20),OR(M20&lt;0,M20&lt;&gt;INT(M20)),TRUE)),"Enter captured counts, including zero",IF(OR(COUNTIFS(RecordData[Query ID],"="&amp;SUBSTITUTE(SUBSTITUTE(SUBSTITUTE(A20,"~","~~"),"*","~*"),"?","~?"),RecordData[Rank A],"&gt;0")&lt;&gt;J20,COUNTIFS(RecordData[Query ID],"="&amp;SUBSTITUTE(SUBSTITUTE(SUBSTITUTE(A20,"~","~~"),"*","~*"),"?","~?"),RecordData[Rank B],"&gt;0")&lt;&gt;M20),"Captured counts disagree with Records",IF(OR(COUNTIFS(RecordData[Query ID],"="&amp;SUBSTITUTE(SUBSTITUTE(SUBSTITUTE(A20,"~","~~"),"*","~*"),"?","~?"),RecordData[Rank A],"&gt;"&amp;I20)&gt;0,COUNTIFS(RecordData[Query ID],"="&amp;SUBSTITUTE(SUBSTITUTE(SUBSTITUTE(A20,"~","~~"),"*","~*"),"?","~?"),RecordData[Rank B],"&gt;"&amp;L20)&gt;0),"Rank exceeds recorded capture depth","Ready"))))))))))))))</x:f>
      </x:c>
      <x:c r="U20" s="13" t="str">
        <x:f>IF(A20="","",IF(SUMIFS(RecordData[Unjudged at k],RecordData[Query ID],"="&amp;SUBSTITUTE(SUBSTITUTE(SUBSTITUTE(A20,"~","~~"),"*","~*"),"?","~?"))&gt;0,"Judge all pooled records at k","Judged"))</x:f>
      </x:c>
    </x:row>
    <x:row r="21" ht="64" customHeight="1">
      <x:c r="A21" s="15"/>
      <x:c r="B21" s="16"/>
      <x:c r="C21" s="12"/>
      <x:c r="D21" s="12"/>
      <x:c r="E21" s="12"/>
      <x:c r="F21" s="12"/>
      <x:c r="G21" s="12"/>
      <x:c r="H21" s="12"/>
      <x:c r="I21" s="10"/>
      <x:c r="J21" s="10"/>
      <x:c r="K21" s="10"/>
      <x:c r="L21" s="10"/>
      <x:c r="M21" s="10"/>
      <x:c r="N21" s="10"/>
      <x:c r="O21" s="12"/>
      <x:c r="P21" s="12"/>
      <x:c r="Q21" s="12"/>
      <x:c r="R21" s="12"/>
      <x:c r="S21" s="12"/>
      <x:c r="T21" s="13" t="str">
        <x:f>IF(A21="","",IF(OR(OR(NOT(ISTEXT(A21)),TRIM(A21)&lt;&gt;A21),COUNTIFS(QueryData[Query ID],"="&amp;SUBSTITUTE(SUBSTITUTE(SUBSTITUTE(A21,"~","~~"),"*","~*"),"?","~?"))&lt;&gt;1),"Fix duplicate or invalid query ID",IF(B21="","Write the information need",IF(C21="","Write relevance criteria",IF(OR(E21="",G21=""),"Record both exact queries",IF(NOT(OR(Comparison!$B$4=10,Comparison!$B$4=20)),"Choose cutoff 10 or 20",IF(Comparison!$N$4&gt;0,"Fix unassigned Records rows",IF(COUNTIFS(RecordData[Query ID],"="&amp;SUBSTITUTE(SUBSTITUTE(SUBSTITUTE(A21,"~","~~"),"*","~*"),"?","~?"),RecordData[Row status],"&lt;&gt;OK")&gt;0,"Fix Records row errors",IF(OR(K21&lt;&gt;"Yes",N21&lt;&gt;"Yes"),"Confirm both captures complete",IF(OR(NOT(ISNUMBER(I21)),NOT(ISNUMBER(L21)),NOT(OR(I21=10,I21=20)),NOT(OR(L21=10,L21=20))),"Record capture depths (10 or 20)",IF(OR(I21&lt;Comparison!$B$4,L21&lt;Comparison!$B$4),"Extend capture to the selected cutoff",IF(OR(IF(ISNUMBER(J21),OR(J21&lt;0,J21&lt;&gt;INT(J21)),TRUE),IF(ISNUMBER(M21),OR(M21&lt;0,M21&lt;&gt;INT(M21)),TRUE)),"Enter captured counts, including zero",IF(OR(COUNTIFS(RecordData[Query ID],"="&amp;SUBSTITUTE(SUBSTITUTE(SUBSTITUTE(A21,"~","~~"),"*","~*"),"?","~?"),RecordData[Rank A],"&gt;0")&lt;&gt;J21,COUNTIFS(RecordData[Query ID],"="&amp;SUBSTITUTE(SUBSTITUTE(SUBSTITUTE(A21,"~","~~"),"*","~*"),"?","~?"),RecordData[Rank B],"&gt;0")&lt;&gt;M21),"Captured counts disagree with Records",IF(OR(COUNTIFS(RecordData[Query ID],"="&amp;SUBSTITUTE(SUBSTITUTE(SUBSTITUTE(A21,"~","~~"),"*","~*"),"?","~?"),RecordData[Rank A],"&gt;"&amp;I21)&gt;0,COUNTIFS(RecordData[Query ID],"="&amp;SUBSTITUTE(SUBSTITUTE(SUBSTITUTE(A21,"~","~~"),"*","~*"),"?","~?"),RecordData[Rank B],"&gt;"&amp;L21)&gt;0),"Rank exceeds recorded capture depth","Ready"))))))))))))))</x:f>
      </x:c>
      <x:c r="U21" s="13" t="str">
        <x:f>IF(A21="","",IF(SUMIFS(RecordData[Unjudged at k],RecordData[Query ID],"="&amp;SUBSTITUTE(SUBSTITUTE(SUBSTITUTE(A21,"~","~~"),"*","~*"),"?","~?"))&gt;0,"Judge all pooled records at k","Judged"))</x:f>
      </x:c>
    </x:row>
    <x:row r="22" ht="64" customHeight="1">
      <x:c r="A22" s="15"/>
      <x:c r="B22" s="16"/>
      <x:c r="C22" s="12"/>
      <x:c r="D22" s="12"/>
      <x:c r="E22" s="12"/>
      <x:c r="F22" s="12"/>
      <x:c r="G22" s="12"/>
      <x:c r="H22" s="12"/>
      <x:c r="I22" s="10"/>
      <x:c r="J22" s="10"/>
      <x:c r="K22" s="10"/>
      <x:c r="L22" s="10"/>
      <x:c r="M22" s="10"/>
      <x:c r="N22" s="10"/>
      <x:c r="O22" s="12"/>
      <x:c r="P22" s="12"/>
      <x:c r="Q22" s="12"/>
      <x:c r="R22" s="12"/>
      <x:c r="S22" s="12"/>
      <x:c r="T22" s="13" t="str">
        <x:f>IF(A22="","",IF(OR(OR(NOT(ISTEXT(A22)),TRIM(A22)&lt;&gt;A22),COUNTIFS(QueryData[Query ID],"="&amp;SUBSTITUTE(SUBSTITUTE(SUBSTITUTE(A22,"~","~~"),"*","~*"),"?","~?"))&lt;&gt;1),"Fix duplicate or invalid query ID",IF(B22="","Write the information need",IF(C22="","Write relevance criteria",IF(OR(E22="",G22=""),"Record both exact queries",IF(NOT(OR(Comparison!$B$4=10,Comparison!$B$4=20)),"Choose cutoff 10 or 20",IF(Comparison!$N$4&gt;0,"Fix unassigned Records rows",IF(COUNTIFS(RecordData[Query ID],"="&amp;SUBSTITUTE(SUBSTITUTE(SUBSTITUTE(A22,"~","~~"),"*","~*"),"?","~?"),RecordData[Row status],"&lt;&gt;OK")&gt;0,"Fix Records row errors",IF(OR(K22&lt;&gt;"Yes",N22&lt;&gt;"Yes"),"Confirm both captures complete",IF(OR(NOT(ISNUMBER(I22)),NOT(ISNUMBER(L22)),NOT(OR(I22=10,I22=20)),NOT(OR(L22=10,L22=20))),"Record capture depths (10 or 20)",IF(OR(I22&lt;Comparison!$B$4,L22&lt;Comparison!$B$4),"Extend capture to the selected cutoff",IF(OR(IF(ISNUMBER(J22),OR(J22&lt;0,J22&lt;&gt;INT(J22)),TRUE),IF(ISNUMBER(M22),OR(M22&lt;0,M22&lt;&gt;INT(M22)),TRUE)),"Enter captured counts, including zero",IF(OR(COUNTIFS(RecordData[Query ID],"="&amp;SUBSTITUTE(SUBSTITUTE(SUBSTITUTE(A22,"~","~~"),"*","~*"),"?","~?"),RecordData[Rank A],"&gt;0")&lt;&gt;J22,COUNTIFS(RecordData[Query ID],"="&amp;SUBSTITUTE(SUBSTITUTE(SUBSTITUTE(A22,"~","~~"),"*","~*"),"?","~?"),RecordData[Rank B],"&gt;0")&lt;&gt;M22),"Captured counts disagree with Records",IF(OR(COUNTIFS(RecordData[Query ID],"="&amp;SUBSTITUTE(SUBSTITUTE(SUBSTITUTE(A22,"~","~~"),"*","~*"),"?","~?"),RecordData[Rank A],"&gt;"&amp;I22)&gt;0,COUNTIFS(RecordData[Query ID],"="&amp;SUBSTITUTE(SUBSTITUTE(SUBSTITUTE(A22,"~","~~"),"*","~*"),"?","~?"),RecordData[Rank B],"&gt;"&amp;L22)&gt;0),"Rank exceeds recorded capture depth","Ready"))))))))))))))</x:f>
      </x:c>
      <x:c r="U22" s="13" t="str">
        <x:f>IF(A22="","",IF(SUMIFS(RecordData[Unjudged at k],RecordData[Query ID],"="&amp;SUBSTITUTE(SUBSTITUTE(SUBSTITUTE(A22,"~","~~"),"*","~*"),"?","~?"))&gt;0,"Judge all pooled records at k","Judged"))</x:f>
      </x:c>
    </x:row>
    <x:row r="23" ht="64" customHeight="1">
      <x:c r="A23" s="15"/>
      <x:c r="B23" s="16"/>
      <x:c r="C23" s="12"/>
      <x:c r="D23" s="12"/>
      <x:c r="E23" s="12"/>
      <x:c r="F23" s="12"/>
      <x:c r="G23" s="12"/>
      <x:c r="H23" s="12"/>
      <x:c r="I23" s="10"/>
      <x:c r="J23" s="10"/>
      <x:c r="K23" s="10"/>
      <x:c r="L23" s="10"/>
      <x:c r="M23" s="10"/>
      <x:c r="N23" s="10"/>
      <x:c r="O23" s="12"/>
      <x:c r="P23" s="12"/>
      <x:c r="Q23" s="12"/>
      <x:c r="R23" s="12"/>
      <x:c r="S23" s="12"/>
      <x:c r="T23" s="13" t="str">
        <x:f>IF(A23="","",IF(OR(OR(NOT(ISTEXT(A23)),TRIM(A23)&lt;&gt;A23),COUNTIFS(QueryData[Query ID],"="&amp;SUBSTITUTE(SUBSTITUTE(SUBSTITUTE(A23,"~","~~"),"*","~*"),"?","~?"))&lt;&gt;1),"Fix duplicate or invalid query ID",IF(B23="","Write the information need",IF(C23="","Write relevance criteria",IF(OR(E23="",G23=""),"Record both exact queries",IF(NOT(OR(Comparison!$B$4=10,Comparison!$B$4=20)),"Choose cutoff 10 or 20",IF(Comparison!$N$4&gt;0,"Fix unassigned Records rows",IF(COUNTIFS(RecordData[Query ID],"="&amp;SUBSTITUTE(SUBSTITUTE(SUBSTITUTE(A23,"~","~~"),"*","~*"),"?","~?"),RecordData[Row status],"&lt;&gt;OK")&gt;0,"Fix Records row errors",IF(OR(K23&lt;&gt;"Yes",N23&lt;&gt;"Yes"),"Confirm both captures complete",IF(OR(NOT(ISNUMBER(I23)),NOT(ISNUMBER(L23)),NOT(OR(I23=10,I23=20)),NOT(OR(L23=10,L23=20))),"Record capture depths (10 or 20)",IF(OR(I23&lt;Comparison!$B$4,L23&lt;Comparison!$B$4),"Extend capture to the selected cutoff",IF(OR(IF(ISNUMBER(J23),OR(J23&lt;0,J23&lt;&gt;INT(J23)),TRUE),IF(ISNUMBER(M23),OR(M23&lt;0,M23&lt;&gt;INT(M23)),TRUE)),"Enter captured counts, including zero",IF(OR(COUNTIFS(RecordData[Query ID],"="&amp;SUBSTITUTE(SUBSTITUTE(SUBSTITUTE(A23,"~","~~"),"*","~*"),"?","~?"),RecordData[Rank A],"&gt;0")&lt;&gt;J23,COUNTIFS(RecordData[Query ID],"="&amp;SUBSTITUTE(SUBSTITUTE(SUBSTITUTE(A23,"~","~~"),"*","~*"),"?","~?"),RecordData[Rank B],"&gt;0")&lt;&gt;M23),"Captured counts disagree with Records",IF(OR(COUNTIFS(RecordData[Query ID],"="&amp;SUBSTITUTE(SUBSTITUTE(SUBSTITUTE(A23,"~","~~"),"*","~*"),"?","~?"),RecordData[Rank A],"&gt;"&amp;I23)&gt;0,COUNTIFS(RecordData[Query ID],"="&amp;SUBSTITUTE(SUBSTITUTE(SUBSTITUTE(A23,"~","~~"),"*","~*"),"?","~?"),RecordData[Rank B],"&gt;"&amp;L23)&gt;0),"Rank exceeds recorded capture depth","Ready"))))))))))))))</x:f>
      </x:c>
      <x:c r="U23" s="13" t="str">
        <x:f>IF(A23="","",IF(SUMIFS(RecordData[Unjudged at k],RecordData[Query ID],"="&amp;SUBSTITUTE(SUBSTITUTE(SUBSTITUTE(A23,"~","~~"),"*","~*"),"?","~?"))&gt;0,"Judge all pooled records at k","Judged"))</x:f>
      </x:c>
    </x:row>
    <x:row r="24" ht="64" customHeight="1">
      <x:c r="A24" s="15"/>
      <x:c r="B24" s="16"/>
      <x:c r="C24" s="12"/>
      <x:c r="D24" s="12"/>
      <x:c r="E24" s="12"/>
      <x:c r="F24" s="12"/>
      <x:c r="G24" s="12"/>
      <x:c r="H24" s="12"/>
      <x:c r="I24" s="10"/>
      <x:c r="J24" s="10"/>
      <x:c r="K24" s="10"/>
      <x:c r="L24" s="10"/>
      <x:c r="M24" s="10"/>
      <x:c r="N24" s="10"/>
      <x:c r="O24" s="12"/>
      <x:c r="P24" s="12"/>
      <x:c r="Q24" s="12"/>
      <x:c r="R24" s="12"/>
      <x:c r="S24" s="12"/>
      <x:c r="T24" s="13" t="str">
        <x:f>IF(A24="","",IF(OR(OR(NOT(ISTEXT(A24)),TRIM(A24)&lt;&gt;A24),COUNTIFS(QueryData[Query ID],"="&amp;SUBSTITUTE(SUBSTITUTE(SUBSTITUTE(A24,"~","~~"),"*","~*"),"?","~?"))&lt;&gt;1),"Fix duplicate or invalid query ID",IF(B24="","Write the information need",IF(C24="","Write relevance criteria",IF(OR(E24="",G24=""),"Record both exact queries",IF(NOT(OR(Comparison!$B$4=10,Comparison!$B$4=20)),"Choose cutoff 10 or 20",IF(Comparison!$N$4&gt;0,"Fix unassigned Records rows",IF(COUNTIFS(RecordData[Query ID],"="&amp;SUBSTITUTE(SUBSTITUTE(SUBSTITUTE(A24,"~","~~"),"*","~*"),"?","~?"),RecordData[Row status],"&lt;&gt;OK")&gt;0,"Fix Records row errors",IF(OR(K24&lt;&gt;"Yes",N24&lt;&gt;"Yes"),"Confirm both captures complete",IF(OR(NOT(ISNUMBER(I24)),NOT(ISNUMBER(L24)),NOT(OR(I24=10,I24=20)),NOT(OR(L24=10,L24=20))),"Record capture depths (10 or 20)",IF(OR(I24&lt;Comparison!$B$4,L24&lt;Comparison!$B$4),"Extend capture to the selected cutoff",IF(OR(IF(ISNUMBER(J24),OR(J24&lt;0,J24&lt;&gt;INT(J24)),TRUE),IF(ISNUMBER(M24),OR(M24&lt;0,M24&lt;&gt;INT(M24)),TRUE)),"Enter captured counts, including zero",IF(OR(COUNTIFS(RecordData[Query ID],"="&amp;SUBSTITUTE(SUBSTITUTE(SUBSTITUTE(A24,"~","~~"),"*","~*"),"?","~?"),RecordData[Rank A],"&gt;0")&lt;&gt;J24,COUNTIFS(RecordData[Query ID],"="&amp;SUBSTITUTE(SUBSTITUTE(SUBSTITUTE(A24,"~","~~"),"*","~*"),"?","~?"),RecordData[Rank B],"&gt;0")&lt;&gt;M24),"Captured counts disagree with Records",IF(OR(COUNTIFS(RecordData[Query ID],"="&amp;SUBSTITUTE(SUBSTITUTE(SUBSTITUTE(A24,"~","~~"),"*","~*"),"?","~?"),RecordData[Rank A],"&gt;"&amp;I24)&gt;0,COUNTIFS(RecordData[Query ID],"="&amp;SUBSTITUTE(SUBSTITUTE(SUBSTITUTE(A24,"~","~~"),"*","~*"),"?","~?"),RecordData[Rank B],"&gt;"&amp;L24)&gt;0),"Rank exceeds recorded capture depth","Ready"))))))))))))))</x:f>
      </x:c>
      <x:c r="U24" s="13" t="str">
        <x:f>IF(A24="","",IF(SUMIFS(RecordData[Unjudged at k],RecordData[Query ID],"="&amp;SUBSTITUTE(SUBSTITUTE(SUBSTITUTE(A24,"~","~~"),"*","~*"),"?","~?"))&gt;0,"Judge all pooled records at k","Judged"))</x:f>
      </x:c>
    </x:row>
    <x:row r="25" ht="64" customHeight="1">
      <x:c r="A25" s="15"/>
      <x:c r="B25" s="16"/>
      <x:c r="C25" s="12"/>
      <x:c r="D25" s="12"/>
      <x:c r="E25" s="12"/>
      <x:c r="F25" s="12"/>
      <x:c r="G25" s="12"/>
      <x:c r="H25" s="12"/>
      <x:c r="I25" s="10"/>
      <x:c r="J25" s="10"/>
      <x:c r="K25" s="10"/>
      <x:c r="L25" s="10"/>
      <x:c r="M25" s="10"/>
      <x:c r="N25" s="10"/>
      <x:c r="O25" s="12"/>
      <x:c r="P25" s="12"/>
      <x:c r="Q25" s="12"/>
      <x:c r="R25" s="12"/>
      <x:c r="S25" s="12"/>
      <x:c r="T25" s="13" t="str">
        <x:f>IF(A25="","",IF(OR(OR(NOT(ISTEXT(A25)),TRIM(A25)&lt;&gt;A25),COUNTIFS(QueryData[Query ID],"="&amp;SUBSTITUTE(SUBSTITUTE(SUBSTITUTE(A25,"~","~~"),"*","~*"),"?","~?"))&lt;&gt;1),"Fix duplicate or invalid query ID",IF(B25="","Write the information need",IF(C25="","Write relevance criteria",IF(OR(E25="",G25=""),"Record both exact queries",IF(NOT(OR(Comparison!$B$4=10,Comparison!$B$4=20)),"Choose cutoff 10 or 20",IF(Comparison!$N$4&gt;0,"Fix unassigned Records rows",IF(COUNTIFS(RecordData[Query ID],"="&amp;SUBSTITUTE(SUBSTITUTE(SUBSTITUTE(A25,"~","~~"),"*","~*"),"?","~?"),RecordData[Row status],"&lt;&gt;OK")&gt;0,"Fix Records row errors",IF(OR(K25&lt;&gt;"Yes",N25&lt;&gt;"Yes"),"Confirm both captures complete",IF(OR(NOT(ISNUMBER(I25)),NOT(ISNUMBER(L25)),NOT(OR(I25=10,I25=20)),NOT(OR(L25=10,L25=20))),"Record capture depths (10 or 20)",IF(OR(I25&lt;Comparison!$B$4,L25&lt;Comparison!$B$4),"Extend capture to the selected cutoff",IF(OR(IF(ISNUMBER(J25),OR(J25&lt;0,J25&lt;&gt;INT(J25)),TRUE),IF(ISNUMBER(M25),OR(M25&lt;0,M25&lt;&gt;INT(M25)),TRUE)),"Enter captured counts, including zero",IF(OR(COUNTIFS(RecordData[Query ID],"="&amp;SUBSTITUTE(SUBSTITUTE(SUBSTITUTE(A25,"~","~~"),"*","~*"),"?","~?"),RecordData[Rank A],"&gt;0")&lt;&gt;J25,COUNTIFS(RecordData[Query ID],"="&amp;SUBSTITUTE(SUBSTITUTE(SUBSTITUTE(A25,"~","~~"),"*","~*"),"?","~?"),RecordData[Rank B],"&gt;0")&lt;&gt;M25),"Captured counts disagree with Records",IF(OR(COUNTIFS(RecordData[Query ID],"="&amp;SUBSTITUTE(SUBSTITUTE(SUBSTITUTE(A25,"~","~~"),"*","~*"),"?","~?"),RecordData[Rank A],"&gt;"&amp;I25)&gt;0,COUNTIFS(RecordData[Query ID],"="&amp;SUBSTITUTE(SUBSTITUTE(SUBSTITUTE(A25,"~","~~"),"*","~*"),"?","~?"),RecordData[Rank B],"&gt;"&amp;L25)&gt;0),"Rank exceeds recorded capture depth","Ready"))))))))))))))</x:f>
      </x:c>
      <x:c r="U25" s="13" t="str">
        <x:f>IF(A25="","",IF(SUMIFS(RecordData[Unjudged at k],RecordData[Query ID],"="&amp;SUBSTITUTE(SUBSTITUTE(SUBSTITUTE(A25,"~","~~"),"*","~*"),"?","~?"))&gt;0,"Judge all pooled records at k","Judged"))</x:f>
      </x:c>
    </x:row>
    <x:row r="26" ht="64" customHeight="1">
      <x:c r="A26" s="15"/>
      <x:c r="B26" s="16"/>
      <x:c r="C26" s="12"/>
      <x:c r="D26" s="12"/>
      <x:c r="E26" s="12"/>
      <x:c r="F26" s="12"/>
      <x:c r="G26" s="12"/>
      <x:c r="H26" s="12"/>
      <x:c r="I26" s="10"/>
      <x:c r="J26" s="10"/>
      <x:c r="K26" s="10"/>
      <x:c r="L26" s="10"/>
      <x:c r="M26" s="10"/>
      <x:c r="N26" s="10"/>
      <x:c r="O26" s="12"/>
      <x:c r="P26" s="12"/>
      <x:c r="Q26" s="12"/>
      <x:c r="R26" s="12"/>
      <x:c r="S26" s="12"/>
      <x:c r="T26" s="13" t="str">
        <x:f>IF(A26="","",IF(OR(OR(NOT(ISTEXT(A26)),TRIM(A26)&lt;&gt;A26),COUNTIFS(QueryData[Query ID],"="&amp;SUBSTITUTE(SUBSTITUTE(SUBSTITUTE(A26,"~","~~"),"*","~*"),"?","~?"))&lt;&gt;1),"Fix duplicate or invalid query ID",IF(B26="","Write the information need",IF(C26="","Write relevance criteria",IF(OR(E26="",G26=""),"Record both exact queries",IF(NOT(OR(Comparison!$B$4=10,Comparison!$B$4=20)),"Choose cutoff 10 or 20",IF(Comparison!$N$4&gt;0,"Fix unassigned Records rows",IF(COUNTIFS(RecordData[Query ID],"="&amp;SUBSTITUTE(SUBSTITUTE(SUBSTITUTE(A26,"~","~~"),"*","~*"),"?","~?"),RecordData[Row status],"&lt;&gt;OK")&gt;0,"Fix Records row errors",IF(OR(K26&lt;&gt;"Yes",N26&lt;&gt;"Yes"),"Confirm both captures complete",IF(OR(NOT(ISNUMBER(I26)),NOT(ISNUMBER(L26)),NOT(OR(I26=10,I26=20)),NOT(OR(L26=10,L26=20))),"Record capture depths (10 or 20)",IF(OR(I26&lt;Comparison!$B$4,L26&lt;Comparison!$B$4),"Extend capture to the selected cutoff",IF(OR(IF(ISNUMBER(J26),OR(J26&lt;0,J26&lt;&gt;INT(J26)),TRUE),IF(ISNUMBER(M26),OR(M26&lt;0,M26&lt;&gt;INT(M26)),TRUE)),"Enter captured counts, including zero",IF(OR(COUNTIFS(RecordData[Query ID],"="&amp;SUBSTITUTE(SUBSTITUTE(SUBSTITUTE(A26,"~","~~"),"*","~*"),"?","~?"),RecordData[Rank A],"&gt;0")&lt;&gt;J26,COUNTIFS(RecordData[Query ID],"="&amp;SUBSTITUTE(SUBSTITUTE(SUBSTITUTE(A26,"~","~~"),"*","~*"),"?","~?"),RecordData[Rank B],"&gt;0")&lt;&gt;M26),"Captured counts disagree with Records",IF(OR(COUNTIFS(RecordData[Query ID],"="&amp;SUBSTITUTE(SUBSTITUTE(SUBSTITUTE(A26,"~","~~"),"*","~*"),"?","~?"),RecordData[Rank A],"&gt;"&amp;I26)&gt;0,COUNTIFS(RecordData[Query ID],"="&amp;SUBSTITUTE(SUBSTITUTE(SUBSTITUTE(A26,"~","~~"),"*","~*"),"?","~?"),RecordData[Rank B],"&gt;"&amp;L26)&gt;0),"Rank exceeds recorded capture depth","Ready"))))))))))))))</x:f>
      </x:c>
      <x:c r="U26" s="13" t="str">
        <x:f>IF(A26="","",IF(SUMIFS(RecordData[Unjudged at k],RecordData[Query ID],"="&amp;SUBSTITUTE(SUBSTITUTE(SUBSTITUTE(A26,"~","~~"),"*","~*"),"?","~?"))&gt;0,"Judge all pooled records at k","Judged"))</x:f>
      </x:c>
    </x:row>
    <x:row r="27" ht="64" customHeight="1">
      <x:c r="A27" s="15"/>
      <x:c r="B27" s="16"/>
      <x:c r="C27" s="12"/>
      <x:c r="D27" s="12"/>
      <x:c r="E27" s="12"/>
      <x:c r="F27" s="12"/>
      <x:c r="G27" s="12"/>
      <x:c r="H27" s="12"/>
      <x:c r="I27" s="10"/>
      <x:c r="J27" s="10"/>
      <x:c r="K27" s="10"/>
      <x:c r="L27" s="10"/>
      <x:c r="M27" s="10"/>
      <x:c r="N27" s="10"/>
      <x:c r="O27" s="12"/>
      <x:c r="P27" s="12"/>
      <x:c r="Q27" s="12"/>
      <x:c r="R27" s="12"/>
      <x:c r="S27" s="12"/>
      <x:c r="T27" s="13" t="str">
        <x:f>IF(A27="","",IF(OR(OR(NOT(ISTEXT(A27)),TRIM(A27)&lt;&gt;A27),COUNTIFS(QueryData[Query ID],"="&amp;SUBSTITUTE(SUBSTITUTE(SUBSTITUTE(A27,"~","~~"),"*","~*"),"?","~?"))&lt;&gt;1),"Fix duplicate or invalid query ID",IF(B27="","Write the information need",IF(C27="","Write relevance criteria",IF(OR(E27="",G27=""),"Record both exact queries",IF(NOT(OR(Comparison!$B$4=10,Comparison!$B$4=20)),"Choose cutoff 10 or 20",IF(Comparison!$N$4&gt;0,"Fix unassigned Records rows",IF(COUNTIFS(RecordData[Query ID],"="&amp;SUBSTITUTE(SUBSTITUTE(SUBSTITUTE(A27,"~","~~"),"*","~*"),"?","~?"),RecordData[Row status],"&lt;&gt;OK")&gt;0,"Fix Records row errors",IF(OR(K27&lt;&gt;"Yes",N27&lt;&gt;"Yes"),"Confirm both captures complete",IF(OR(NOT(ISNUMBER(I27)),NOT(ISNUMBER(L27)),NOT(OR(I27=10,I27=20)),NOT(OR(L27=10,L27=20))),"Record capture depths (10 or 20)",IF(OR(I27&lt;Comparison!$B$4,L27&lt;Comparison!$B$4),"Extend capture to the selected cutoff",IF(OR(IF(ISNUMBER(J27),OR(J27&lt;0,J27&lt;&gt;INT(J27)),TRUE),IF(ISNUMBER(M27),OR(M27&lt;0,M27&lt;&gt;INT(M27)),TRUE)),"Enter captured counts, including zero",IF(OR(COUNTIFS(RecordData[Query ID],"="&amp;SUBSTITUTE(SUBSTITUTE(SUBSTITUTE(A27,"~","~~"),"*","~*"),"?","~?"),RecordData[Rank A],"&gt;0")&lt;&gt;J27,COUNTIFS(RecordData[Query ID],"="&amp;SUBSTITUTE(SUBSTITUTE(SUBSTITUTE(A27,"~","~~"),"*","~*"),"?","~?"),RecordData[Rank B],"&gt;0")&lt;&gt;M27),"Captured counts disagree with Records",IF(OR(COUNTIFS(RecordData[Query ID],"="&amp;SUBSTITUTE(SUBSTITUTE(SUBSTITUTE(A27,"~","~~"),"*","~*"),"?","~?"),RecordData[Rank A],"&gt;"&amp;I27)&gt;0,COUNTIFS(RecordData[Query ID],"="&amp;SUBSTITUTE(SUBSTITUTE(SUBSTITUTE(A27,"~","~~"),"*","~*"),"?","~?"),RecordData[Rank B],"&gt;"&amp;L27)&gt;0),"Rank exceeds recorded capture depth","Ready"))))))))))))))</x:f>
      </x:c>
      <x:c r="U27" s="13" t="str">
        <x:f>IF(A27="","",IF(SUMIFS(RecordData[Unjudged at k],RecordData[Query ID],"="&amp;SUBSTITUTE(SUBSTITUTE(SUBSTITUTE(A27,"~","~~"),"*","~*"),"?","~?"))&gt;0,"Judge all pooled records at k","Judged"))</x:f>
      </x:c>
    </x:row>
    <x:row r="28" ht="64" customHeight="1">
      <x:c r="A28" s="15"/>
      <x:c r="B28" s="16"/>
      <x:c r="C28" s="12"/>
      <x:c r="D28" s="12"/>
      <x:c r="E28" s="12"/>
      <x:c r="F28" s="12"/>
      <x:c r="G28" s="12"/>
      <x:c r="H28" s="12"/>
      <x:c r="I28" s="10"/>
      <x:c r="J28" s="10"/>
      <x:c r="K28" s="10"/>
      <x:c r="L28" s="10"/>
      <x:c r="M28" s="10"/>
      <x:c r="N28" s="10"/>
      <x:c r="O28" s="12"/>
      <x:c r="P28" s="12"/>
      <x:c r="Q28" s="12"/>
      <x:c r="R28" s="12"/>
      <x:c r="S28" s="12"/>
      <x:c r="T28" s="13" t="str">
        <x:f>IF(A28="","",IF(OR(OR(NOT(ISTEXT(A28)),TRIM(A28)&lt;&gt;A28),COUNTIFS(QueryData[Query ID],"="&amp;SUBSTITUTE(SUBSTITUTE(SUBSTITUTE(A28,"~","~~"),"*","~*"),"?","~?"))&lt;&gt;1),"Fix duplicate or invalid query ID",IF(B28="","Write the information need",IF(C28="","Write relevance criteria",IF(OR(E28="",G28=""),"Record both exact queries",IF(NOT(OR(Comparison!$B$4=10,Comparison!$B$4=20)),"Choose cutoff 10 or 20",IF(Comparison!$N$4&gt;0,"Fix unassigned Records rows",IF(COUNTIFS(RecordData[Query ID],"="&amp;SUBSTITUTE(SUBSTITUTE(SUBSTITUTE(A28,"~","~~"),"*","~*"),"?","~?"),RecordData[Row status],"&lt;&gt;OK")&gt;0,"Fix Records row errors",IF(OR(K28&lt;&gt;"Yes",N28&lt;&gt;"Yes"),"Confirm both captures complete",IF(OR(NOT(ISNUMBER(I28)),NOT(ISNUMBER(L28)),NOT(OR(I28=10,I28=20)),NOT(OR(L28=10,L28=20))),"Record capture depths (10 or 20)",IF(OR(I28&lt;Comparison!$B$4,L28&lt;Comparison!$B$4),"Extend capture to the selected cutoff",IF(OR(IF(ISNUMBER(J28),OR(J28&lt;0,J28&lt;&gt;INT(J28)),TRUE),IF(ISNUMBER(M28),OR(M28&lt;0,M28&lt;&gt;INT(M28)),TRUE)),"Enter captured counts, including zero",IF(OR(COUNTIFS(RecordData[Query ID],"="&amp;SUBSTITUTE(SUBSTITUTE(SUBSTITUTE(A28,"~","~~"),"*","~*"),"?","~?"),RecordData[Rank A],"&gt;0")&lt;&gt;J28,COUNTIFS(RecordData[Query ID],"="&amp;SUBSTITUTE(SUBSTITUTE(SUBSTITUTE(A28,"~","~~"),"*","~*"),"?","~?"),RecordData[Rank B],"&gt;0")&lt;&gt;M28),"Captured counts disagree with Records",IF(OR(COUNTIFS(RecordData[Query ID],"="&amp;SUBSTITUTE(SUBSTITUTE(SUBSTITUTE(A28,"~","~~"),"*","~*"),"?","~?"),RecordData[Rank A],"&gt;"&amp;I28)&gt;0,COUNTIFS(RecordData[Query ID],"="&amp;SUBSTITUTE(SUBSTITUTE(SUBSTITUTE(A28,"~","~~"),"*","~*"),"?","~?"),RecordData[Rank B],"&gt;"&amp;L28)&gt;0),"Rank exceeds recorded capture depth","Ready"))))))))))))))</x:f>
      </x:c>
      <x:c r="U28" s="13" t="str">
        <x:f>IF(A28="","",IF(SUMIFS(RecordData[Unjudged at k],RecordData[Query ID],"="&amp;SUBSTITUTE(SUBSTITUTE(SUBSTITUTE(A28,"~","~~"),"*","~*"),"?","~?"))&gt;0,"Judge all pooled records at k","Judged"))</x:f>
      </x:c>
    </x:row>
    <x:row r="29" ht="64" customHeight="1">
      <x:c r="A29" s="15"/>
      <x:c r="B29" s="16"/>
      <x:c r="C29" s="12"/>
      <x:c r="D29" s="12"/>
      <x:c r="E29" s="12"/>
      <x:c r="F29" s="12"/>
      <x:c r="G29" s="12"/>
      <x:c r="H29" s="12"/>
      <x:c r="I29" s="10"/>
      <x:c r="J29" s="10"/>
      <x:c r="K29" s="10"/>
      <x:c r="L29" s="10"/>
      <x:c r="M29" s="10"/>
      <x:c r="N29" s="10"/>
      <x:c r="O29" s="12"/>
      <x:c r="P29" s="12"/>
      <x:c r="Q29" s="12"/>
      <x:c r="R29" s="12"/>
      <x:c r="S29" s="12"/>
      <x:c r="T29" s="13" t="str">
        <x:f>IF(A29="","",IF(OR(OR(NOT(ISTEXT(A29)),TRIM(A29)&lt;&gt;A29),COUNTIFS(QueryData[Query ID],"="&amp;SUBSTITUTE(SUBSTITUTE(SUBSTITUTE(A29,"~","~~"),"*","~*"),"?","~?"))&lt;&gt;1),"Fix duplicate or invalid query ID",IF(B29="","Write the information need",IF(C29="","Write relevance criteria",IF(OR(E29="",G29=""),"Record both exact queries",IF(NOT(OR(Comparison!$B$4=10,Comparison!$B$4=20)),"Choose cutoff 10 or 20",IF(Comparison!$N$4&gt;0,"Fix unassigned Records rows",IF(COUNTIFS(RecordData[Query ID],"="&amp;SUBSTITUTE(SUBSTITUTE(SUBSTITUTE(A29,"~","~~"),"*","~*"),"?","~?"),RecordData[Row status],"&lt;&gt;OK")&gt;0,"Fix Records row errors",IF(OR(K29&lt;&gt;"Yes",N29&lt;&gt;"Yes"),"Confirm both captures complete",IF(OR(NOT(ISNUMBER(I29)),NOT(ISNUMBER(L29)),NOT(OR(I29=10,I29=20)),NOT(OR(L29=10,L29=20))),"Record capture depths (10 or 20)",IF(OR(I29&lt;Comparison!$B$4,L29&lt;Comparison!$B$4),"Extend capture to the selected cutoff",IF(OR(IF(ISNUMBER(J29),OR(J29&lt;0,J29&lt;&gt;INT(J29)),TRUE),IF(ISNUMBER(M29),OR(M29&lt;0,M29&lt;&gt;INT(M29)),TRUE)),"Enter captured counts, including zero",IF(OR(COUNTIFS(RecordData[Query ID],"="&amp;SUBSTITUTE(SUBSTITUTE(SUBSTITUTE(A29,"~","~~"),"*","~*"),"?","~?"),RecordData[Rank A],"&gt;0")&lt;&gt;J29,COUNTIFS(RecordData[Query ID],"="&amp;SUBSTITUTE(SUBSTITUTE(SUBSTITUTE(A29,"~","~~"),"*","~*"),"?","~?"),RecordData[Rank B],"&gt;0")&lt;&gt;M29),"Captured counts disagree with Records",IF(OR(COUNTIFS(RecordData[Query ID],"="&amp;SUBSTITUTE(SUBSTITUTE(SUBSTITUTE(A29,"~","~~"),"*","~*"),"?","~?"),RecordData[Rank A],"&gt;"&amp;I29)&gt;0,COUNTIFS(RecordData[Query ID],"="&amp;SUBSTITUTE(SUBSTITUTE(SUBSTITUTE(A29,"~","~~"),"*","~*"),"?","~?"),RecordData[Rank B],"&gt;"&amp;L29)&gt;0),"Rank exceeds recorded capture depth","Ready"))))))))))))))</x:f>
      </x:c>
      <x:c r="U29" s="13" t="str">
        <x:f>IF(A29="","",IF(SUMIFS(RecordData[Unjudged at k],RecordData[Query ID],"="&amp;SUBSTITUTE(SUBSTITUTE(SUBSTITUTE(A29,"~","~~"),"*","~*"),"?","~?"))&gt;0,"Judge all pooled records at k","Judged"))</x:f>
      </x:c>
    </x:row>
    <x:row r="30" ht="64" customHeight="1">
      <x:c r="A30" s="15"/>
      <x:c r="B30" s="16"/>
      <x:c r="C30" s="12"/>
      <x:c r="D30" s="12"/>
      <x:c r="E30" s="12"/>
      <x:c r="F30" s="12"/>
      <x:c r="G30" s="12"/>
      <x:c r="H30" s="12"/>
      <x:c r="I30" s="10"/>
      <x:c r="J30" s="10"/>
      <x:c r="K30" s="10"/>
      <x:c r="L30" s="10"/>
      <x:c r="M30" s="10"/>
      <x:c r="N30" s="10"/>
      <x:c r="O30" s="12"/>
      <x:c r="P30" s="12"/>
      <x:c r="Q30" s="12"/>
      <x:c r="R30" s="12"/>
      <x:c r="S30" s="12"/>
      <x:c r="T30" s="13" t="str">
        <x:f>IF(A30="","",IF(OR(OR(NOT(ISTEXT(A30)),TRIM(A30)&lt;&gt;A30),COUNTIFS(QueryData[Query ID],"="&amp;SUBSTITUTE(SUBSTITUTE(SUBSTITUTE(A30,"~","~~"),"*","~*"),"?","~?"))&lt;&gt;1),"Fix duplicate or invalid query ID",IF(B30="","Write the information need",IF(C30="","Write relevance criteria",IF(OR(E30="",G30=""),"Record both exact queries",IF(NOT(OR(Comparison!$B$4=10,Comparison!$B$4=20)),"Choose cutoff 10 or 20",IF(Comparison!$N$4&gt;0,"Fix unassigned Records rows",IF(COUNTIFS(RecordData[Query ID],"="&amp;SUBSTITUTE(SUBSTITUTE(SUBSTITUTE(A30,"~","~~"),"*","~*"),"?","~?"),RecordData[Row status],"&lt;&gt;OK")&gt;0,"Fix Records row errors",IF(OR(K30&lt;&gt;"Yes",N30&lt;&gt;"Yes"),"Confirm both captures complete",IF(OR(NOT(ISNUMBER(I30)),NOT(ISNUMBER(L30)),NOT(OR(I30=10,I30=20)),NOT(OR(L30=10,L30=20))),"Record capture depths (10 or 20)",IF(OR(I30&lt;Comparison!$B$4,L30&lt;Comparison!$B$4),"Extend capture to the selected cutoff",IF(OR(IF(ISNUMBER(J30),OR(J30&lt;0,J30&lt;&gt;INT(J30)),TRUE),IF(ISNUMBER(M30),OR(M30&lt;0,M30&lt;&gt;INT(M30)),TRUE)),"Enter captured counts, including zero",IF(OR(COUNTIFS(RecordData[Query ID],"="&amp;SUBSTITUTE(SUBSTITUTE(SUBSTITUTE(A30,"~","~~"),"*","~*"),"?","~?"),RecordData[Rank A],"&gt;0")&lt;&gt;J30,COUNTIFS(RecordData[Query ID],"="&amp;SUBSTITUTE(SUBSTITUTE(SUBSTITUTE(A30,"~","~~"),"*","~*"),"?","~?"),RecordData[Rank B],"&gt;0")&lt;&gt;M30),"Captured counts disagree with Records",IF(OR(COUNTIFS(RecordData[Query ID],"="&amp;SUBSTITUTE(SUBSTITUTE(SUBSTITUTE(A30,"~","~~"),"*","~*"),"?","~?"),RecordData[Rank A],"&gt;"&amp;I30)&gt;0,COUNTIFS(RecordData[Query ID],"="&amp;SUBSTITUTE(SUBSTITUTE(SUBSTITUTE(A30,"~","~~"),"*","~*"),"?","~?"),RecordData[Rank B],"&gt;"&amp;L30)&gt;0),"Rank exceeds recorded capture depth","Ready"))))))))))))))</x:f>
      </x:c>
      <x:c r="U30" s="13" t="str">
        <x:f>IF(A30="","",IF(SUMIFS(RecordData[Unjudged at k],RecordData[Query ID],"="&amp;SUBSTITUTE(SUBSTITUTE(SUBSTITUTE(A30,"~","~~"),"*","~*"),"?","~?"))&gt;0,"Judge all pooled records at k","Judged"))</x:f>
      </x:c>
    </x:row>
    <x:row r="31" ht="64" customHeight="1">
      <x:c r="A31" s="15"/>
      <x:c r="B31" s="16"/>
      <x:c r="C31" s="12"/>
      <x:c r="D31" s="12"/>
      <x:c r="E31" s="12"/>
      <x:c r="F31" s="12"/>
      <x:c r="G31" s="12"/>
      <x:c r="H31" s="12"/>
      <x:c r="I31" s="10"/>
      <x:c r="J31" s="10"/>
      <x:c r="K31" s="10"/>
      <x:c r="L31" s="10"/>
      <x:c r="M31" s="10"/>
      <x:c r="N31" s="10"/>
      <x:c r="O31" s="12"/>
      <x:c r="P31" s="12"/>
      <x:c r="Q31" s="12"/>
      <x:c r="R31" s="12"/>
      <x:c r="S31" s="12"/>
      <x:c r="T31" s="13" t="str">
        <x:f>IF(A31="","",IF(OR(OR(NOT(ISTEXT(A31)),TRIM(A31)&lt;&gt;A31),COUNTIFS(QueryData[Query ID],"="&amp;SUBSTITUTE(SUBSTITUTE(SUBSTITUTE(A31,"~","~~"),"*","~*"),"?","~?"))&lt;&gt;1),"Fix duplicate or invalid query ID",IF(B31="","Write the information need",IF(C31="","Write relevance criteria",IF(OR(E31="",G31=""),"Record both exact queries",IF(NOT(OR(Comparison!$B$4=10,Comparison!$B$4=20)),"Choose cutoff 10 or 20",IF(Comparison!$N$4&gt;0,"Fix unassigned Records rows",IF(COUNTIFS(RecordData[Query ID],"="&amp;SUBSTITUTE(SUBSTITUTE(SUBSTITUTE(A31,"~","~~"),"*","~*"),"?","~?"),RecordData[Row status],"&lt;&gt;OK")&gt;0,"Fix Records row errors",IF(OR(K31&lt;&gt;"Yes",N31&lt;&gt;"Yes"),"Confirm both captures complete",IF(OR(NOT(ISNUMBER(I31)),NOT(ISNUMBER(L31)),NOT(OR(I31=10,I31=20)),NOT(OR(L31=10,L31=20))),"Record capture depths (10 or 20)",IF(OR(I31&lt;Comparison!$B$4,L31&lt;Comparison!$B$4),"Extend capture to the selected cutoff",IF(OR(IF(ISNUMBER(J31),OR(J31&lt;0,J31&lt;&gt;INT(J31)),TRUE),IF(ISNUMBER(M31),OR(M31&lt;0,M31&lt;&gt;INT(M31)),TRUE)),"Enter captured counts, including zero",IF(OR(COUNTIFS(RecordData[Query ID],"="&amp;SUBSTITUTE(SUBSTITUTE(SUBSTITUTE(A31,"~","~~"),"*","~*"),"?","~?"),RecordData[Rank A],"&gt;0")&lt;&gt;J31,COUNTIFS(RecordData[Query ID],"="&amp;SUBSTITUTE(SUBSTITUTE(SUBSTITUTE(A31,"~","~~"),"*","~*"),"?","~?"),RecordData[Rank B],"&gt;0")&lt;&gt;M31),"Captured counts disagree with Records",IF(OR(COUNTIFS(RecordData[Query ID],"="&amp;SUBSTITUTE(SUBSTITUTE(SUBSTITUTE(A31,"~","~~"),"*","~*"),"?","~?"),RecordData[Rank A],"&gt;"&amp;I31)&gt;0,COUNTIFS(RecordData[Query ID],"="&amp;SUBSTITUTE(SUBSTITUTE(SUBSTITUTE(A31,"~","~~"),"*","~*"),"?","~?"),RecordData[Rank B],"&gt;"&amp;L31)&gt;0),"Rank exceeds recorded capture depth","Ready"))))))))))))))</x:f>
      </x:c>
      <x:c r="U31" s="13" t="str">
        <x:f>IF(A31="","",IF(SUMIFS(RecordData[Unjudged at k],RecordData[Query ID],"="&amp;SUBSTITUTE(SUBSTITUTE(SUBSTITUTE(A31,"~","~~"),"*","~*"),"?","~?"))&gt;0,"Judge all pooled records at k","Judged"))</x:f>
      </x:c>
    </x:row>
    <x:row r="32" ht="64" customHeight="1">
      <x:c r="A32" s="15"/>
      <x:c r="B32" s="16"/>
      <x:c r="C32" s="12"/>
      <x:c r="D32" s="12"/>
      <x:c r="E32" s="12"/>
      <x:c r="F32" s="12"/>
      <x:c r="G32" s="12"/>
      <x:c r="H32" s="12"/>
      <x:c r="I32" s="10"/>
      <x:c r="J32" s="10"/>
      <x:c r="K32" s="10"/>
      <x:c r="L32" s="10"/>
      <x:c r="M32" s="10"/>
      <x:c r="N32" s="10"/>
      <x:c r="O32" s="12"/>
      <x:c r="P32" s="12"/>
      <x:c r="Q32" s="12"/>
      <x:c r="R32" s="12"/>
      <x:c r="S32" s="12"/>
      <x:c r="T32" s="13" t="str">
        <x:f>IF(A32="","",IF(OR(OR(NOT(ISTEXT(A32)),TRIM(A32)&lt;&gt;A32),COUNTIFS(QueryData[Query ID],"="&amp;SUBSTITUTE(SUBSTITUTE(SUBSTITUTE(A32,"~","~~"),"*","~*"),"?","~?"))&lt;&gt;1),"Fix duplicate or invalid query ID",IF(B32="","Write the information need",IF(C32="","Write relevance criteria",IF(OR(E32="",G32=""),"Record both exact queries",IF(NOT(OR(Comparison!$B$4=10,Comparison!$B$4=20)),"Choose cutoff 10 or 20",IF(Comparison!$N$4&gt;0,"Fix unassigned Records rows",IF(COUNTIFS(RecordData[Query ID],"="&amp;SUBSTITUTE(SUBSTITUTE(SUBSTITUTE(A32,"~","~~"),"*","~*"),"?","~?"),RecordData[Row status],"&lt;&gt;OK")&gt;0,"Fix Records row errors",IF(OR(K32&lt;&gt;"Yes",N32&lt;&gt;"Yes"),"Confirm both captures complete",IF(OR(NOT(ISNUMBER(I32)),NOT(ISNUMBER(L32)),NOT(OR(I32=10,I32=20)),NOT(OR(L32=10,L32=20))),"Record capture depths (10 or 20)",IF(OR(I32&lt;Comparison!$B$4,L32&lt;Comparison!$B$4),"Extend capture to the selected cutoff",IF(OR(IF(ISNUMBER(J32),OR(J32&lt;0,J32&lt;&gt;INT(J32)),TRUE),IF(ISNUMBER(M32),OR(M32&lt;0,M32&lt;&gt;INT(M32)),TRUE)),"Enter captured counts, including zero",IF(OR(COUNTIFS(RecordData[Query ID],"="&amp;SUBSTITUTE(SUBSTITUTE(SUBSTITUTE(A32,"~","~~"),"*","~*"),"?","~?"),RecordData[Rank A],"&gt;0")&lt;&gt;J32,COUNTIFS(RecordData[Query ID],"="&amp;SUBSTITUTE(SUBSTITUTE(SUBSTITUTE(A32,"~","~~"),"*","~*"),"?","~?"),RecordData[Rank B],"&gt;0")&lt;&gt;M32),"Captured counts disagree with Records",IF(OR(COUNTIFS(RecordData[Query ID],"="&amp;SUBSTITUTE(SUBSTITUTE(SUBSTITUTE(A32,"~","~~"),"*","~*"),"?","~?"),RecordData[Rank A],"&gt;"&amp;I32)&gt;0,COUNTIFS(RecordData[Query ID],"="&amp;SUBSTITUTE(SUBSTITUTE(SUBSTITUTE(A32,"~","~~"),"*","~*"),"?","~?"),RecordData[Rank B],"&gt;"&amp;L32)&gt;0),"Rank exceeds recorded capture depth","Ready"))))))))))))))</x:f>
      </x:c>
      <x:c r="U32" s="13" t="str">
        <x:f>IF(A32="","",IF(SUMIFS(RecordData[Unjudged at k],RecordData[Query ID],"="&amp;SUBSTITUTE(SUBSTITUTE(SUBSTITUTE(A32,"~","~~"),"*","~*"),"?","~?"))&gt;0,"Judge all pooled records at k","Judged"))</x:f>
      </x:c>
    </x:row>
    <x:row r="33" ht="64" customHeight="1">
      <x:c r="A33" s="15"/>
      <x:c r="B33" s="16"/>
      <x:c r="C33" s="12"/>
      <x:c r="D33" s="12"/>
      <x:c r="E33" s="12"/>
      <x:c r="F33" s="12"/>
      <x:c r="G33" s="12"/>
      <x:c r="H33" s="12"/>
      <x:c r="I33" s="10"/>
      <x:c r="J33" s="10"/>
      <x:c r="K33" s="10"/>
      <x:c r="L33" s="10"/>
      <x:c r="M33" s="10"/>
      <x:c r="N33" s="10"/>
      <x:c r="O33" s="12"/>
      <x:c r="P33" s="12"/>
      <x:c r="Q33" s="12"/>
      <x:c r="R33" s="12"/>
      <x:c r="S33" s="12"/>
      <x:c r="T33" s="13" t="str">
        <x:f>IF(A33="","",IF(OR(OR(NOT(ISTEXT(A33)),TRIM(A33)&lt;&gt;A33),COUNTIFS(QueryData[Query ID],"="&amp;SUBSTITUTE(SUBSTITUTE(SUBSTITUTE(A33,"~","~~"),"*","~*"),"?","~?"))&lt;&gt;1),"Fix duplicate or invalid query ID",IF(B33="","Write the information need",IF(C33="","Write relevance criteria",IF(OR(E33="",G33=""),"Record both exact queries",IF(NOT(OR(Comparison!$B$4=10,Comparison!$B$4=20)),"Choose cutoff 10 or 20",IF(Comparison!$N$4&gt;0,"Fix unassigned Records rows",IF(COUNTIFS(RecordData[Query ID],"="&amp;SUBSTITUTE(SUBSTITUTE(SUBSTITUTE(A33,"~","~~"),"*","~*"),"?","~?"),RecordData[Row status],"&lt;&gt;OK")&gt;0,"Fix Records row errors",IF(OR(K33&lt;&gt;"Yes",N33&lt;&gt;"Yes"),"Confirm both captures complete",IF(OR(NOT(ISNUMBER(I33)),NOT(ISNUMBER(L33)),NOT(OR(I33=10,I33=20)),NOT(OR(L33=10,L33=20))),"Record capture depths (10 or 20)",IF(OR(I33&lt;Comparison!$B$4,L33&lt;Comparison!$B$4),"Extend capture to the selected cutoff",IF(OR(IF(ISNUMBER(J33),OR(J33&lt;0,J33&lt;&gt;INT(J33)),TRUE),IF(ISNUMBER(M33),OR(M33&lt;0,M33&lt;&gt;INT(M33)),TRUE)),"Enter captured counts, including zero",IF(OR(COUNTIFS(RecordData[Query ID],"="&amp;SUBSTITUTE(SUBSTITUTE(SUBSTITUTE(A33,"~","~~"),"*","~*"),"?","~?"),RecordData[Rank A],"&gt;0")&lt;&gt;J33,COUNTIFS(RecordData[Query ID],"="&amp;SUBSTITUTE(SUBSTITUTE(SUBSTITUTE(A33,"~","~~"),"*","~*"),"?","~?"),RecordData[Rank B],"&gt;0")&lt;&gt;M33),"Captured counts disagree with Records",IF(OR(COUNTIFS(RecordData[Query ID],"="&amp;SUBSTITUTE(SUBSTITUTE(SUBSTITUTE(A33,"~","~~"),"*","~*"),"?","~?"),RecordData[Rank A],"&gt;"&amp;I33)&gt;0,COUNTIFS(RecordData[Query ID],"="&amp;SUBSTITUTE(SUBSTITUTE(SUBSTITUTE(A33,"~","~~"),"*","~*"),"?","~?"),RecordData[Rank B],"&gt;"&amp;L33)&gt;0),"Rank exceeds recorded capture depth","Ready"))))))))))))))</x:f>
      </x:c>
      <x:c r="U33" s="13" t="str">
        <x:f>IF(A33="","",IF(SUMIFS(RecordData[Unjudged at k],RecordData[Query ID],"="&amp;SUBSTITUTE(SUBSTITUTE(SUBSTITUTE(A33,"~","~~"),"*","~*"),"?","~?"))&gt;0,"Judge all pooled records at k","Judged"))</x:f>
      </x:c>
    </x:row>
    <x:row r="34" ht="64" customHeight="1">
      <x:c r="A34" s="15"/>
      <x:c r="B34" s="16"/>
      <x:c r="C34" s="12"/>
      <x:c r="D34" s="12"/>
      <x:c r="E34" s="12"/>
      <x:c r="F34" s="12"/>
      <x:c r="G34" s="12"/>
      <x:c r="H34" s="12"/>
      <x:c r="I34" s="10"/>
      <x:c r="J34" s="10"/>
      <x:c r="K34" s="10"/>
      <x:c r="L34" s="10"/>
      <x:c r="M34" s="10"/>
      <x:c r="N34" s="10"/>
      <x:c r="O34" s="12"/>
      <x:c r="P34" s="12"/>
      <x:c r="Q34" s="12"/>
      <x:c r="R34" s="12"/>
      <x:c r="S34" s="12"/>
      <x:c r="T34" s="13" t="str">
        <x:f>IF(A34="","",IF(OR(OR(NOT(ISTEXT(A34)),TRIM(A34)&lt;&gt;A34),COUNTIFS(QueryData[Query ID],"="&amp;SUBSTITUTE(SUBSTITUTE(SUBSTITUTE(A34,"~","~~"),"*","~*"),"?","~?"))&lt;&gt;1),"Fix duplicate or invalid query ID",IF(B34="","Write the information need",IF(C34="","Write relevance criteria",IF(OR(E34="",G34=""),"Record both exact queries",IF(NOT(OR(Comparison!$B$4=10,Comparison!$B$4=20)),"Choose cutoff 10 or 20",IF(Comparison!$N$4&gt;0,"Fix unassigned Records rows",IF(COUNTIFS(RecordData[Query ID],"="&amp;SUBSTITUTE(SUBSTITUTE(SUBSTITUTE(A34,"~","~~"),"*","~*"),"?","~?"),RecordData[Row status],"&lt;&gt;OK")&gt;0,"Fix Records row errors",IF(OR(K34&lt;&gt;"Yes",N34&lt;&gt;"Yes"),"Confirm both captures complete",IF(OR(NOT(ISNUMBER(I34)),NOT(ISNUMBER(L34)),NOT(OR(I34=10,I34=20)),NOT(OR(L34=10,L34=20))),"Record capture depths (10 or 20)",IF(OR(I34&lt;Comparison!$B$4,L34&lt;Comparison!$B$4),"Extend capture to the selected cutoff",IF(OR(IF(ISNUMBER(J34),OR(J34&lt;0,J34&lt;&gt;INT(J34)),TRUE),IF(ISNUMBER(M34),OR(M34&lt;0,M34&lt;&gt;INT(M34)),TRUE)),"Enter captured counts, including zero",IF(OR(COUNTIFS(RecordData[Query ID],"="&amp;SUBSTITUTE(SUBSTITUTE(SUBSTITUTE(A34,"~","~~"),"*","~*"),"?","~?"),RecordData[Rank A],"&gt;0")&lt;&gt;J34,COUNTIFS(RecordData[Query ID],"="&amp;SUBSTITUTE(SUBSTITUTE(SUBSTITUTE(A34,"~","~~"),"*","~*"),"?","~?"),RecordData[Rank B],"&gt;0")&lt;&gt;M34),"Captured counts disagree with Records",IF(OR(COUNTIFS(RecordData[Query ID],"="&amp;SUBSTITUTE(SUBSTITUTE(SUBSTITUTE(A34,"~","~~"),"*","~*"),"?","~?"),RecordData[Rank A],"&gt;"&amp;I34)&gt;0,COUNTIFS(RecordData[Query ID],"="&amp;SUBSTITUTE(SUBSTITUTE(SUBSTITUTE(A34,"~","~~"),"*","~*"),"?","~?"),RecordData[Rank B],"&gt;"&amp;L34)&gt;0),"Rank exceeds recorded capture depth","Ready"))))))))))))))</x:f>
      </x:c>
      <x:c r="U34" s="13" t="str">
        <x:f>IF(A34="","",IF(SUMIFS(RecordData[Unjudged at k],RecordData[Query ID],"="&amp;SUBSTITUTE(SUBSTITUTE(SUBSTITUTE(A34,"~","~~"),"*","~*"),"?","~?"))&gt;0,"Judge all pooled records at k","Judged"))</x:f>
      </x:c>
    </x:row>
    <x:row r="35" ht="64" customHeight="1">
      <x:c r="A35" s="15"/>
      <x:c r="B35" s="16"/>
      <x:c r="C35" s="12"/>
      <x:c r="D35" s="12"/>
      <x:c r="E35" s="12"/>
      <x:c r="F35" s="12"/>
      <x:c r="G35" s="12"/>
      <x:c r="H35" s="12"/>
      <x:c r="I35" s="10"/>
      <x:c r="J35" s="10"/>
      <x:c r="K35" s="10"/>
      <x:c r="L35" s="10"/>
      <x:c r="M35" s="10"/>
      <x:c r="N35" s="10"/>
      <x:c r="O35" s="12"/>
      <x:c r="P35" s="12"/>
      <x:c r="Q35" s="12"/>
      <x:c r="R35" s="12"/>
      <x:c r="S35" s="12"/>
      <x:c r="T35" s="13" t="str">
        <x:f>IF(A35="","",IF(OR(OR(NOT(ISTEXT(A35)),TRIM(A35)&lt;&gt;A35),COUNTIFS(QueryData[Query ID],"="&amp;SUBSTITUTE(SUBSTITUTE(SUBSTITUTE(A35,"~","~~"),"*","~*"),"?","~?"))&lt;&gt;1),"Fix duplicate or invalid query ID",IF(B35="","Write the information need",IF(C35="","Write relevance criteria",IF(OR(E35="",G35=""),"Record both exact queries",IF(NOT(OR(Comparison!$B$4=10,Comparison!$B$4=20)),"Choose cutoff 10 or 20",IF(Comparison!$N$4&gt;0,"Fix unassigned Records rows",IF(COUNTIFS(RecordData[Query ID],"="&amp;SUBSTITUTE(SUBSTITUTE(SUBSTITUTE(A35,"~","~~"),"*","~*"),"?","~?"),RecordData[Row status],"&lt;&gt;OK")&gt;0,"Fix Records row errors",IF(OR(K35&lt;&gt;"Yes",N35&lt;&gt;"Yes"),"Confirm both captures complete",IF(OR(NOT(ISNUMBER(I35)),NOT(ISNUMBER(L35)),NOT(OR(I35=10,I35=20)),NOT(OR(L35=10,L35=20))),"Record capture depths (10 or 20)",IF(OR(I35&lt;Comparison!$B$4,L35&lt;Comparison!$B$4),"Extend capture to the selected cutoff",IF(OR(IF(ISNUMBER(J35),OR(J35&lt;0,J35&lt;&gt;INT(J35)),TRUE),IF(ISNUMBER(M35),OR(M35&lt;0,M35&lt;&gt;INT(M35)),TRUE)),"Enter captured counts, including zero",IF(OR(COUNTIFS(RecordData[Query ID],"="&amp;SUBSTITUTE(SUBSTITUTE(SUBSTITUTE(A35,"~","~~"),"*","~*"),"?","~?"),RecordData[Rank A],"&gt;0")&lt;&gt;J35,COUNTIFS(RecordData[Query ID],"="&amp;SUBSTITUTE(SUBSTITUTE(SUBSTITUTE(A35,"~","~~"),"*","~*"),"?","~?"),RecordData[Rank B],"&gt;0")&lt;&gt;M35),"Captured counts disagree with Records",IF(OR(COUNTIFS(RecordData[Query ID],"="&amp;SUBSTITUTE(SUBSTITUTE(SUBSTITUTE(A35,"~","~~"),"*","~*"),"?","~?"),RecordData[Rank A],"&gt;"&amp;I35)&gt;0,COUNTIFS(RecordData[Query ID],"="&amp;SUBSTITUTE(SUBSTITUTE(SUBSTITUTE(A35,"~","~~"),"*","~*"),"?","~?"),RecordData[Rank B],"&gt;"&amp;L35)&gt;0),"Rank exceeds recorded capture depth","Ready"))))))))))))))</x:f>
      </x:c>
      <x:c r="U35" s="13" t="str">
        <x:f>IF(A35="","",IF(SUMIFS(RecordData[Unjudged at k],RecordData[Query ID],"="&amp;SUBSTITUTE(SUBSTITUTE(SUBSTITUTE(A35,"~","~~"),"*","~*"),"?","~?"))&gt;0,"Judge all pooled records at k","Judged"))</x:f>
      </x:c>
    </x:row>
    <x:row r="36" ht="64" customHeight="1">
      <x:c r="A36" s="15"/>
      <x:c r="B36" s="16"/>
      <x:c r="C36" s="12"/>
      <x:c r="D36" s="12"/>
      <x:c r="E36" s="12"/>
      <x:c r="F36" s="12"/>
      <x:c r="G36" s="12"/>
      <x:c r="H36" s="12"/>
      <x:c r="I36" s="10"/>
      <x:c r="J36" s="10"/>
      <x:c r="K36" s="10"/>
      <x:c r="L36" s="10"/>
      <x:c r="M36" s="10"/>
      <x:c r="N36" s="10"/>
      <x:c r="O36" s="12"/>
      <x:c r="P36" s="12"/>
      <x:c r="Q36" s="12"/>
      <x:c r="R36" s="12"/>
      <x:c r="S36" s="12"/>
      <x:c r="T36" s="13" t="str">
        <x:f>IF(A36="","",IF(OR(OR(NOT(ISTEXT(A36)),TRIM(A36)&lt;&gt;A36),COUNTIFS(QueryData[Query ID],"="&amp;SUBSTITUTE(SUBSTITUTE(SUBSTITUTE(A36,"~","~~"),"*","~*"),"?","~?"))&lt;&gt;1),"Fix duplicate or invalid query ID",IF(B36="","Write the information need",IF(C36="","Write relevance criteria",IF(OR(E36="",G36=""),"Record both exact queries",IF(NOT(OR(Comparison!$B$4=10,Comparison!$B$4=20)),"Choose cutoff 10 or 20",IF(Comparison!$N$4&gt;0,"Fix unassigned Records rows",IF(COUNTIFS(RecordData[Query ID],"="&amp;SUBSTITUTE(SUBSTITUTE(SUBSTITUTE(A36,"~","~~"),"*","~*"),"?","~?"),RecordData[Row status],"&lt;&gt;OK")&gt;0,"Fix Records row errors",IF(OR(K36&lt;&gt;"Yes",N36&lt;&gt;"Yes"),"Confirm both captures complete",IF(OR(NOT(ISNUMBER(I36)),NOT(ISNUMBER(L36)),NOT(OR(I36=10,I36=20)),NOT(OR(L36=10,L36=20))),"Record capture depths (10 or 20)",IF(OR(I36&lt;Comparison!$B$4,L36&lt;Comparison!$B$4),"Extend capture to the selected cutoff",IF(OR(IF(ISNUMBER(J36),OR(J36&lt;0,J36&lt;&gt;INT(J36)),TRUE),IF(ISNUMBER(M36),OR(M36&lt;0,M36&lt;&gt;INT(M36)),TRUE)),"Enter captured counts, including zero",IF(OR(COUNTIFS(RecordData[Query ID],"="&amp;SUBSTITUTE(SUBSTITUTE(SUBSTITUTE(A36,"~","~~"),"*","~*"),"?","~?"),RecordData[Rank A],"&gt;0")&lt;&gt;J36,COUNTIFS(RecordData[Query ID],"="&amp;SUBSTITUTE(SUBSTITUTE(SUBSTITUTE(A36,"~","~~"),"*","~*"),"?","~?"),RecordData[Rank B],"&gt;0")&lt;&gt;M36),"Captured counts disagree with Records",IF(OR(COUNTIFS(RecordData[Query ID],"="&amp;SUBSTITUTE(SUBSTITUTE(SUBSTITUTE(A36,"~","~~"),"*","~*"),"?","~?"),RecordData[Rank A],"&gt;"&amp;I36)&gt;0,COUNTIFS(RecordData[Query ID],"="&amp;SUBSTITUTE(SUBSTITUTE(SUBSTITUTE(A36,"~","~~"),"*","~*"),"?","~?"),RecordData[Rank B],"&gt;"&amp;L36)&gt;0),"Rank exceeds recorded capture depth","Ready"))))))))))))))</x:f>
      </x:c>
      <x:c r="U36" s="13" t="str">
        <x:f>IF(A36="","",IF(SUMIFS(RecordData[Unjudged at k],RecordData[Query ID],"="&amp;SUBSTITUTE(SUBSTITUTE(SUBSTITUTE(A36,"~","~~"),"*","~*"),"?","~?"))&gt;0,"Judge all pooled records at k","Judged"))</x:f>
      </x:c>
    </x:row>
    <x:row r="37" ht="64" customHeight="1">
      <x:c r="A37" s="15"/>
      <x:c r="B37" s="16"/>
      <x:c r="C37" s="12"/>
      <x:c r="D37" s="12"/>
      <x:c r="E37" s="12"/>
      <x:c r="F37" s="12"/>
      <x:c r="G37" s="12"/>
      <x:c r="H37" s="12"/>
      <x:c r="I37" s="10"/>
      <x:c r="J37" s="10"/>
      <x:c r="K37" s="10"/>
      <x:c r="L37" s="10"/>
      <x:c r="M37" s="10"/>
      <x:c r="N37" s="10"/>
      <x:c r="O37" s="12"/>
      <x:c r="P37" s="12"/>
      <x:c r="Q37" s="12"/>
      <x:c r="R37" s="12"/>
      <x:c r="S37" s="12"/>
      <x:c r="T37" s="13" t="str">
        <x:f>IF(A37="","",IF(OR(OR(NOT(ISTEXT(A37)),TRIM(A37)&lt;&gt;A37),COUNTIFS(QueryData[Query ID],"="&amp;SUBSTITUTE(SUBSTITUTE(SUBSTITUTE(A37,"~","~~"),"*","~*"),"?","~?"))&lt;&gt;1),"Fix duplicate or invalid query ID",IF(B37="","Write the information need",IF(C37="","Write relevance criteria",IF(OR(E37="",G37=""),"Record both exact queries",IF(NOT(OR(Comparison!$B$4=10,Comparison!$B$4=20)),"Choose cutoff 10 or 20",IF(Comparison!$N$4&gt;0,"Fix unassigned Records rows",IF(COUNTIFS(RecordData[Query ID],"="&amp;SUBSTITUTE(SUBSTITUTE(SUBSTITUTE(A37,"~","~~"),"*","~*"),"?","~?"),RecordData[Row status],"&lt;&gt;OK")&gt;0,"Fix Records row errors",IF(OR(K37&lt;&gt;"Yes",N37&lt;&gt;"Yes"),"Confirm both captures complete",IF(OR(NOT(ISNUMBER(I37)),NOT(ISNUMBER(L37)),NOT(OR(I37=10,I37=20)),NOT(OR(L37=10,L37=20))),"Record capture depths (10 or 20)",IF(OR(I37&lt;Comparison!$B$4,L37&lt;Comparison!$B$4),"Extend capture to the selected cutoff",IF(OR(IF(ISNUMBER(J37),OR(J37&lt;0,J37&lt;&gt;INT(J37)),TRUE),IF(ISNUMBER(M37),OR(M37&lt;0,M37&lt;&gt;INT(M37)),TRUE)),"Enter captured counts, including zero",IF(OR(COUNTIFS(RecordData[Query ID],"="&amp;SUBSTITUTE(SUBSTITUTE(SUBSTITUTE(A37,"~","~~"),"*","~*"),"?","~?"),RecordData[Rank A],"&gt;0")&lt;&gt;J37,COUNTIFS(RecordData[Query ID],"="&amp;SUBSTITUTE(SUBSTITUTE(SUBSTITUTE(A37,"~","~~"),"*","~*"),"?","~?"),RecordData[Rank B],"&gt;0")&lt;&gt;M37),"Captured counts disagree with Records",IF(OR(COUNTIFS(RecordData[Query ID],"="&amp;SUBSTITUTE(SUBSTITUTE(SUBSTITUTE(A37,"~","~~"),"*","~*"),"?","~?"),RecordData[Rank A],"&gt;"&amp;I37)&gt;0,COUNTIFS(RecordData[Query ID],"="&amp;SUBSTITUTE(SUBSTITUTE(SUBSTITUTE(A37,"~","~~"),"*","~*"),"?","~?"),RecordData[Rank B],"&gt;"&amp;L37)&gt;0),"Rank exceeds recorded capture depth","Ready"))))))))))))))</x:f>
      </x:c>
      <x:c r="U37" s="13" t="str">
        <x:f>IF(A37="","",IF(SUMIFS(RecordData[Unjudged at k],RecordData[Query ID],"="&amp;SUBSTITUTE(SUBSTITUTE(SUBSTITUTE(A37,"~","~~"),"*","~*"),"?","~?"))&gt;0,"Judge all pooled records at k","Judged"))</x:f>
      </x:c>
    </x:row>
    <x:row r="38" ht="64" customHeight="1">
      <x:c r="A38" s="15"/>
      <x:c r="B38" s="16"/>
      <x:c r="C38" s="12"/>
      <x:c r="D38" s="12"/>
      <x:c r="E38" s="12"/>
      <x:c r="F38" s="12"/>
      <x:c r="G38" s="12"/>
      <x:c r="H38" s="12"/>
      <x:c r="I38" s="10"/>
      <x:c r="J38" s="10"/>
      <x:c r="K38" s="10"/>
      <x:c r="L38" s="10"/>
      <x:c r="M38" s="10"/>
      <x:c r="N38" s="10"/>
      <x:c r="O38" s="12"/>
      <x:c r="P38" s="12"/>
      <x:c r="Q38" s="12"/>
      <x:c r="R38" s="12"/>
      <x:c r="S38" s="12"/>
      <x:c r="T38" s="13" t="str">
        <x:f>IF(A38="","",IF(OR(OR(NOT(ISTEXT(A38)),TRIM(A38)&lt;&gt;A38),COUNTIFS(QueryData[Query ID],"="&amp;SUBSTITUTE(SUBSTITUTE(SUBSTITUTE(A38,"~","~~"),"*","~*"),"?","~?"))&lt;&gt;1),"Fix duplicate or invalid query ID",IF(B38="","Write the information need",IF(C38="","Write relevance criteria",IF(OR(E38="",G38=""),"Record both exact queries",IF(NOT(OR(Comparison!$B$4=10,Comparison!$B$4=20)),"Choose cutoff 10 or 20",IF(Comparison!$N$4&gt;0,"Fix unassigned Records rows",IF(COUNTIFS(RecordData[Query ID],"="&amp;SUBSTITUTE(SUBSTITUTE(SUBSTITUTE(A38,"~","~~"),"*","~*"),"?","~?"),RecordData[Row status],"&lt;&gt;OK")&gt;0,"Fix Records row errors",IF(OR(K38&lt;&gt;"Yes",N38&lt;&gt;"Yes"),"Confirm both captures complete",IF(OR(NOT(ISNUMBER(I38)),NOT(ISNUMBER(L38)),NOT(OR(I38=10,I38=20)),NOT(OR(L38=10,L38=20))),"Record capture depths (10 or 20)",IF(OR(I38&lt;Comparison!$B$4,L38&lt;Comparison!$B$4),"Extend capture to the selected cutoff",IF(OR(IF(ISNUMBER(J38),OR(J38&lt;0,J38&lt;&gt;INT(J38)),TRUE),IF(ISNUMBER(M38),OR(M38&lt;0,M38&lt;&gt;INT(M38)),TRUE)),"Enter captured counts, including zero",IF(OR(COUNTIFS(RecordData[Query ID],"="&amp;SUBSTITUTE(SUBSTITUTE(SUBSTITUTE(A38,"~","~~"),"*","~*"),"?","~?"),RecordData[Rank A],"&gt;0")&lt;&gt;J38,COUNTIFS(RecordData[Query ID],"="&amp;SUBSTITUTE(SUBSTITUTE(SUBSTITUTE(A38,"~","~~"),"*","~*"),"?","~?"),RecordData[Rank B],"&gt;0")&lt;&gt;M38),"Captured counts disagree with Records",IF(OR(COUNTIFS(RecordData[Query ID],"="&amp;SUBSTITUTE(SUBSTITUTE(SUBSTITUTE(A38,"~","~~"),"*","~*"),"?","~?"),RecordData[Rank A],"&gt;"&amp;I38)&gt;0,COUNTIFS(RecordData[Query ID],"="&amp;SUBSTITUTE(SUBSTITUTE(SUBSTITUTE(A38,"~","~~"),"*","~*"),"?","~?"),RecordData[Rank B],"&gt;"&amp;L38)&gt;0),"Rank exceeds recorded capture depth","Ready"))))))))))))))</x:f>
      </x:c>
      <x:c r="U38" s="13" t="str">
        <x:f>IF(A38="","",IF(SUMIFS(RecordData[Unjudged at k],RecordData[Query ID],"="&amp;SUBSTITUTE(SUBSTITUTE(SUBSTITUTE(A38,"~","~~"),"*","~*"),"?","~?"))&gt;0,"Judge all pooled records at k","Judged"))</x:f>
      </x:c>
    </x:row>
    <x:row r="39" ht="64" customHeight="1">
      <x:c r="A39" s="15"/>
      <x:c r="B39" s="16"/>
      <x:c r="C39" s="12"/>
      <x:c r="D39" s="12"/>
      <x:c r="E39" s="12"/>
      <x:c r="F39" s="12"/>
      <x:c r="G39" s="12"/>
      <x:c r="H39" s="12"/>
      <x:c r="I39" s="10"/>
      <x:c r="J39" s="10"/>
      <x:c r="K39" s="10"/>
      <x:c r="L39" s="10"/>
      <x:c r="M39" s="10"/>
      <x:c r="N39" s="10"/>
      <x:c r="O39" s="12"/>
      <x:c r="P39" s="12"/>
      <x:c r="Q39" s="12"/>
      <x:c r="R39" s="12"/>
      <x:c r="S39" s="12"/>
      <x:c r="T39" s="13" t="str">
        <x:f>IF(A39="","",IF(OR(OR(NOT(ISTEXT(A39)),TRIM(A39)&lt;&gt;A39),COUNTIFS(QueryData[Query ID],"="&amp;SUBSTITUTE(SUBSTITUTE(SUBSTITUTE(A39,"~","~~"),"*","~*"),"?","~?"))&lt;&gt;1),"Fix duplicate or invalid query ID",IF(B39="","Write the information need",IF(C39="","Write relevance criteria",IF(OR(E39="",G39=""),"Record both exact queries",IF(NOT(OR(Comparison!$B$4=10,Comparison!$B$4=20)),"Choose cutoff 10 or 20",IF(Comparison!$N$4&gt;0,"Fix unassigned Records rows",IF(COUNTIFS(RecordData[Query ID],"="&amp;SUBSTITUTE(SUBSTITUTE(SUBSTITUTE(A39,"~","~~"),"*","~*"),"?","~?"),RecordData[Row status],"&lt;&gt;OK")&gt;0,"Fix Records row errors",IF(OR(K39&lt;&gt;"Yes",N39&lt;&gt;"Yes"),"Confirm both captures complete",IF(OR(NOT(ISNUMBER(I39)),NOT(ISNUMBER(L39)),NOT(OR(I39=10,I39=20)),NOT(OR(L39=10,L39=20))),"Record capture depths (10 or 20)",IF(OR(I39&lt;Comparison!$B$4,L39&lt;Comparison!$B$4),"Extend capture to the selected cutoff",IF(OR(IF(ISNUMBER(J39),OR(J39&lt;0,J39&lt;&gt;INT(J39)),TRUE),IF(ISNUMBER(M39),OR(M39&lt;0,M39&lt;&gt;INT(M39)),TRUE)),"Enter captured counts, including zero",IF(OR(COUNTIFS(RecordData[Query ID],"="&amp;SUBSTITUTE(SUBSTITUTE(SUBSTITUTE(A39,"~","~~"),"*","~*"),"?","~?"),RecordData[Rank A],"&gt;0")&lt;&gt;J39,COUNTIFS(RecordData[Query ID],"="&amp;SUBSTITUTE(SUBSTITUTE(SUBSTITUTE(A39,"~","~~"),"*","~*"),"?","~?"),RecordData[Rank B],"&gt;0")&lt;&gt;M39),"Captured counts disagree with Records",IF(OR(COUNTIFS(RecordData[Query ID],"="&amp;SUBSTITUTE(SUBSTITUTE(SUBSTITUTE(A39,"~","~~"),"*","~*"),"?","~?"),RecordData[Rank A],"&gt;"&amp;I39)&gt;0,COUNTIFS(RecordData[Query ID],"="&amp;SUBSTITUTE(SUBSTITUTE(SUBSTITUTE(A39,"~","~~"),"*","~*"),"?","~?"),RecordData[Rank B],"&gt;"&amp;L39)&gt;0),"Rank exceeds recorded capture depth","Ready"))))))))))))))</x:f>
      </x:c>
      <x:c r="U39" s="13" t="str">
        <x:f>IF(A39="","",IF(SUMIFS(RecordData[Unjudged at k],RecordData[Query ID],"="&amp;SUBSTITUTE(SUBSTITUTE(SUBSTITUTE(A39,"~","~~"),"*","~*"),"?","~?"))&gt;0,"Judge all pooled records at k","Judged"))</x:f>
      </x:c>
    </x:row>
    <x:row r="40" ht="64" customHeight="1">
      <x:c r="A40" s="15"/>
      <x:c r="B40" s="16"/>
      <x:c r="C40" s="12"/>
      <x:c r="D40" s="12"/>
      <x:c r="E40" s="12"/>
      <x:c r="F40" s="12"/>
      <x:c r="G40" s="12"/>
      <x:c r="H40" s="12"/>
      <x:c r="I40" s="10"/>
      <x:c r="J40" s="10"/>
      <x:c r="K40" s="10"/>
      <x:c r="L40" s="10"/>
      <x:c r="M40" s="10"/>
      <x:c r="N40" s="10"/>
      <x:c r="O40" s="12"/>
      <x:c r="P40" s="12"/>
      <x:c r="Q40" s="12"/>
      <x:c r="R40" s="12"/>
      <x:c r="S40" s="12"/>
      <x:c r="T40" s="13" t="str">
        <x:f>IF(A40="","",IF(OR(OR(NOT(ISTEXT(A40)),TRIM(A40)&lt;&gt;A40),COUNTIFS(QueryData[Query ID],"="&amp;SUBSTITUTE(SUBSTITUTE(SUBSTITUTE(A40,"~","~~"),"*","~*"),"?","~?"))&lt;&gt;1),"Fix duplicate or invalid query ID",IF(B40="","Write the information need",IF(C40="","Write relevance criteria",IF(OR(E40="",G40=""),"Record both exact queries",IF(NOT(OR(Comparison!$B$4=10,Comparison!$B$4=20)),"Choose cutoff 10 or 20",IF(Comparison!$N$4&gt;0,"Fix unassigned Records rows",IF(COUNTIFS(RecordData[Query ID],"="&amp;SUBSTITUTE(SUBSTITUTE(SUBSTITUTE(A40,"~","~~"),"*","~*"),"?","~?"),RecordData[Row status],"&lt;&gt;OK")&gt;0,"Fix Records row errors",IF(OR(K40&lt;&gt;"Yes",N40&lt;&gt;"Yes"),"Confirm both captures complete",IF(OR(NOT(ISNUMBER(I40)),NOT(ISNUMBER(L40)),NOT(OR(I40=10,I40=20)),NOT(OR(L40=10,L40=20))),"Record capture depths (10 or 20)",IF(OR(I40&lt;Comparison!$B$4,L40&lt;Comparison!$B$4),"Extend capture to the selected cutoff",IF(OR(IF(ISNUMBER(J40),OR(J40&lt;0,J40&lt;&gt;INT(J40)),TRUE),IF(ISNUMBER(M40),OR(M40&lt;0,M40&lt;&gt;INT(M40)),TRUE)),"Enter captured counts, including zero",IF(OR(COUNTIFS(RecordData[Query ID],"="&amp;SUBSTITUTE(SUBSTITUTE(SUBSTITUTE(A40,"~","~~"),"*","~*"),"?","~?"),RecordData[Rank A],"&gt;0")&lt;&gt;J40,COUNTIFS(RecordData[Query ID],"="&amp;SUBSTITUTE(SUBSTITUTE(SUBSTITUTE(A40,"~","~~"),"*","~*"),"?","~?"),RecordData[Rank B],"&gt;0")&lt;&gt;M40),"Captured counts disagree with Records",IF(OR(COUNTIFS(RecordData[Query ID],"="&amp;SUBSTITUTE(SUBSTITUTE(SUBSTITUTE(A40,"~","~~"),"*","~*"),"?","~?"),RecordData[Rank A],"&gt;"&amp;I40)&gt;0,COUNTIFS(RecordData[Query ID],"="&amp;SUBSTITUTE(SUBSTITUTE(SUBSTITUTE(A40,"~","~~"),"*","~*"),"?","~?"),RecordData[Rank B],"&gt;"&amp;L40)&gt;0),"Rank exceeds recorded capture depth","Ready"))))))))))))))</x:f>
      </x:c>
      <x:c r="U40" s="13" t="str">
        <x:f>IF(A40="","",IF(SUMIFS(RecordData[Unjudged at k],RecordData[Query ID],"="&amp;SUBSTITUTE(SUBSTITUTE(SUBSTITUTE(A40,"~","~~"),"*","~*"),"?","~?"))&gt;0,"Judge all pooled records at k","Judged"))</x:f>
      </x:c>
    </x:row>
    <x:row r="41" ht="64" customHeight="1">
      <x:c r="A41" s="15"/>
      <x:c r="B41" s="16"/>
      <x:c r="C41" s="12"/>
      <x:c r="D41" s="12"/>
      <x:c r="E41" s="12"/>
      <x:c r="F41" s="12"/>
      <x:c r="G41" s="12"/>
      <x:c r="H41" s="12"/>
      <x:c r="I41" s="10"/>
      <x:c r="J41" s="10"/>
      <x:c r="K41" s="10"/>
      <x:c r="L41" s="10"/>
      <x:c r="M41" s="10"/>
      <x:c r="N41" s="10"/>
      <x:c r="O41" s="12"/>
      <x:c r="P41" s="12"/>
      <x:c r="Q41" s="12"/>
      <x:c r="R41" s="12"/>
      <x:c r="S41" s="12"/>
      <x:c r="T41" s="13" t="str">
        <x:f>IF(A41="","",IF(OR(OR(NOT(ISTEXT(A41)),TRIM(A41)&lt;&gt;A41),COUNTIFS(QueryData[Query ID],"="&amp;SUBSTITUTE(SUBSTITUTE(SUBSTITUTE(A41,"~","~~"),"*","~*"),"?","~?"))&lt;&gt;1),"Fix duplicate or invalid query ID",IF(B41="","Write the information need",IF(C41="","Write relevance criteria",IF(OR(E41="",G41=""),"Record both exact queries",IF(NOT(OR(Comparison!$B$4=10,Comparison!$B$4=20)),"Choose cutoff 10 or 20",IF(Comparison!$N$4&gt;0,"Fix unassigned Records rows",IF(COUNTIFS(RecordData[Query ID],"="&amp;SUBSTITUTE(SUBSTITUTE(SUBSTITUTE(A41,"~","~~"),"*","~*"),"?","~?"),RecordData[Row status],"&lt;&gt;OK")&gt;0,"Fix Records row errors",IF(OR(K41&lt;&gt;"Yes",N41&lt;&gt;"Yes"),"Confirm both captures complete",IF(OR(NOT(ISNUMBER(I41)),NOT(ISNUMBER(L41)),NOT(OR(I41=10,I41=20)),NOT(OR(L41=10,L41=20))),"Record capture depths (10 or 20)",IF(OR(I41&lt;Comparison!$B$4,L41&lt;Comparison!$B$4),"Extend capture to the selected cutoff",IF(OR(IF(ISNUMBER(J41),OR(J41&lt;0,J41&lt;&gt;INT(J41)),TRUE),IF(ISNUMBER(M41),OR(M41&lt;0,M41&lt;&gt;INT(M41)),TRUE)),"Enter captured counts, including zero",IF(OR(COUNTIFS(RecordData[Query ID],"="&amp;SUBSTITUTE(SUBSTITUTE(SUBSTITUTE(A41,"~","~~"),"*","~*"),"?","~?"),RecordData[Rank A],"&gt;0")&lt;&gt;J41,COUNTIFS(RecordData[Query ID],"="&amp;SUBSTITUTE(SUBSTITUTE(SUBSTITUTE(A41,"~","~~"),"*","~*"),"?","~?"),RecordData[Rank B],"&gt;0")&lt;&gt;M41),"Captured counts disagree with Records",IF(OR(COUNTIFS(RecordData[Query ID],"="&amp;SUBSTITUTE(SUBSTITUTE(SUBSTITUTE(A41,"~","~~"),"*","~*"),"?","~?"),RecordData[Rank A],"&gt;"&amp;I41)&gt;0,COUNTIFS(RecordData[Query ID],"="&amp;SUBSTITUTE(SUBSTITUTE(SUBSTITUTE(A41,"~","~~"),"*","~*"),"?","~?"),RecordData[Rank B],"&gt;"&amp;L41)&gt;0),"Rank exceeds recorded capture depth","Ready"))))))))))))))</x:f>
      </x:c>
      <x:c r="U41" s="13" t="str">
        <x:f>IF(A41="","",IF(SUMIFS(RecordData[Unjudged at k],RecordData[Query ID],"="&amp;SUBSTITUTE(SUBSTITUTE(SUBSTITUTE(A41,"~","~~"),"*","~*"),"?","~?"))&gt;0,"Judge all pooled records at k","Judged"))</x:f>
      </x:c>
    </x:row>
    <x:row r="42" ht="64" customHeight="1">
      <x:c r="A42" s="15"/>
      <x:c r="B42" s="16"/>
      <x:c r="C42" s="12"/>
      <x:c r="D42" s="12"/>
      <x:c r="E42" s="12"/>
      <x:c r="F42" s="12"/>
      <x:c r="G42" s="12"/>
      <x:c r="H42" s="12"/>
      <x:c r="I42" s="10"/>
      <x:c r="J42" s="10"/>
      <x:c r="K42" s="10"/>
      <x:c r="L42" s="10"/>
      <x:c r="M42" s="10"/>
      <x:c r="N42" s="10"/>
      <x:c r="O42" s="12"/>
      <x:c r="P42" s="12"/>
      <x:c r="Q42" s="12"/>
      <x:c r="R42" s="12"/>
      <x:c r="S42" s="12"/>
      <x:c r="T42" s="13" t="str">
        <x:f>IF(A42="","",IF(OR(OR(NOT(ISTEXT(A42)),TRIM(A42)&lt;&gt;A42),COUNTIFS(QueryData[Query ID],"="&amp;SUBSTITUTE(SUBSTITUTE(SUBSTITUTE(A42,"~","~~"),"*","~*"),"?","~?"))&lt;&gt;1),"Fix duplicate or invalid query ID",IF(B42="","Write the information need",IF(C42="","Write relevance criteria",IF(OR(E42="",G42=""),"Record both exact queries",IF(NOT(OR(Comparison!$B$4=10,Comparison!$B$4=20)),"Choose cutoff 10 or 20",IF(Comparison!$N$4&gt;0,"Fix unassigned Records rows",IF(COUNTIFS(RecordData[Query ID],"="&amp;SUBSTITUTE(SUBSTITUTE(SUBSTITUTE(A42,"~","~~"),"*","~*"),"?","~?"),RecordData[Row status],"&lt;&gt;OK")&gt;0,"Fix Records row errors",IF(OR(K42&lt;&gt;"Yes",N42&lt;&gt;"Yes"),"Confirm both captures complete",IF(OR(NOT(ISNUMBER(I42)),NOT(ISNUMBER(L42)),NOT(OR(I42=10,I42=20)),NOT(OR(L42=10,L42=20))),"Record capture depths (10 or 20)",IF(OR(I42&lt;Comparison!$B$4,L42&lt;Comparison!$B$4),"Extend capture to the selected cutoff",IF(OR(IF(ISNUMBER(J42),OR(J42&lt;0,J42&lt;&gt;INT(J42)),TRUE),IF(ISNUMBER(M42),OR(M42&lt;0,M42&lt;&gt;INT(M42)),TRUE)),"Enter captured counts, including zero",IF(OR(COUNTIFS(RecordData[Query ID],"="&amp;SUBSTITUTE(SUBSTITUTE(SUBSTITUTE(A42,"~","~~"),"*","~*"),"?","~?"),RecordData[Rank A],"&gt;0")&lt;&gt;J42,COUNTIFS(RecordData[Query ID],"="&amp;SUBSTITUTE(SUBSTITUTE(SUBSTITUTE(A42,"~","~~"),"*","~*"),"?","~?"),RecordData[Rank B],"&gt;0")&lt;&gt;M42),"Captured counts disagree with Records",IF(OR(COUNTIFS(RecordData[Query ID],"="&amp;SUBSTITUTE(SUBSTITUTE(SUBSTITUTE(A42,"~","~~"),"*","~*"),"?","~?"),RecordData[Rank A],"&gt;"&amp;I42)&gt;0,COUNTIFS(RecordData[Query ID],"="&amp;SUBSTITUTE(SUBSTITUTE(SUBSTITUTE(A42,"~","~~"),"*","~*"),"?","~?"),RecordData[Rank B],"&gt;"&amp;L42)&gt;0),"Rank exceeds recorded capture depth","Ready"))))))))))))))</x:f>
      </x:c>
      <x:c r="U42" s="13" t="str">
        <x:f>IF(A42="","",IF(SUMIFS(RecordData[Unjudged at k],RecordData[Query ID],"="&amp;SUBSTITUTE(SUBSTITUTE(SUBSTITUTE(A42,"~","~~"),"*","~*"),"?","~?"))&gt;0,"Judge all pooled records at k","Judged"))</x:f>
      </x:c>
    </x:row>
    <x:row r="43" ht="64" customHeight="1">
      <x:c r="A43" s="15"/>
      <x:c r="B43" s="16"/>
      <x:c r="C43" s="12"/>
      <x:c r="D43" s="12"/>
      <x:c r="E43" s="12"/>
      <x:c r="F43" s="12"/>
      <x:c r="G43" s="12"/>
      <x:c r="H43" s="12"/>
      <x:c r="I43" s="10"/>
      <x:c r="J43" s="10"/>
      <x:c r="K43" s="10"/>
      <x:c r="L43" s="10"/>
      <x:c r="M43" s="10"/>
      <x:c r="N43" s="10"/>
      <x:c r="O43" s="12"/>
      <x:c r="P43" s="12"/>
      <x:c r="Q43" s="12"/>
      <x:c r="R43" s="12"/>
      <x:c r="S43" s="12"/>
      <x:c r="T43" s="13" t="str">
        <x:f>IF(A43="","",IF(OR(OR(NOT(ISTEXT(A43)),TRIM(A43)&lt;&gt;A43),COUNTIFS(QueryData[Query ID],"="&amp;SUBSTITUTE(SUBSTITUTE(SUBSTITUTE(A43,"~","~~"),"*","~*"),"?","~?"))&lt;&gt;1),"Fix duplicate or invalid query ID",IF(B43="","Write the information need",IF(C43="","Write relevance criteria",IF(OR(E43="",G43=""),"Record both exact queries",IF(NOT(OR(Comparison!$B$4=10,Comparison!$B$4=20)),"Choose cutoff 10 or 20",IF(Comparison!$N$4&gt;0,"Fix unassigned Records rows",IF(COUNTIFS(RecordData[Query ID],"="&amp;SUBSTITUTE(SUBSTITUTE(SUBSTITUTE(A43,"~","~~"),"*","~*"),"?","~?"),RecordData[Row status],"&lt;&gt;OK")&gt;0,"Fix Records row errors",IF(OR(K43&lt;&gt;"Yes",N43&lt;&gt;"Yes"),"Confirm both captures complete",IF(OR(NOT(ISNUMBER(I43)),NOT(ISNUMBER(L43)),NOT(OR(I43=10,I43=20)),NOT(OR(L43=10,L43=20))),"Record capture depths (10 or 20)",IF(OR(I43&lt;Comparison!$B$4,L43&lt;Comparison!$B$4),"Extend capture to the selected cutoff",IF(OR(IF(ISNUMBER(J43),OR(J43&lt;0,J43&lt;&gt;INT(J43)),TRUE),IF(ISNUMBER(M43),OR(M43&lt;0,M43&lt;&gt;INT(M43)),TRUE)),"Enter captured counts, including zero",IF(OR(COUNTIFS(RecordData[Query ID],"="&amp;SUBSTITUTE(SUBSTITUTE(SUBSTITUTE(A43,"~","~~"),"*","~*"),"?","~?"),RecordData[Rank A],"&gt;0")&lt;&gt;J43,COUNTIFS(RecordData[Query ID],"="&amp;SUBSTITUTE(SUBSTITUTE(SUBSTITUTE(A43,"~","~~"),"*","~*"),"?","~?"),RecordData[Rank B],"&gt;0")&lt;&gt;M43),"Captured counts disagree with Records",IF(OR(COUNTIFS(RecordData[Query ID],"="&amp;SUBSTITUTE(SUBSTITUTE(SUBSTITUTE(A43,"~","~~"),"*","~*"),"?","~?"),RecordData[Rank A],"&gt;"&amp;I43)&gt;0,COUNTIFS(RecordData[Query ID],"="&amp;SUBSTITUTE(SUBSTITUTE(SUBSTITUTE(A43,"~","~~"),"*","~*"),"?","~?"),RecordData[Rank B],"&gt;"&amp;L43)&gt;0),"Rank exceeds recorded capture depth","Ready"))))))))))))))</x:f>
      </x:c>
      <x:c r="U43" s="13" t="str">
        <x:f>IF(A43="","",IF(SUMIFS(RecordData[Unjudged at k],RecordData[Query ID],"="&amp;SUBSTITUTE(SUBSTITUTE(SUBSTITUTE(A43,"~","~~"),"*","~*"),"?","~?"))&gt;0,"Judge all pooled records at k","Judged"))</x:f>
      </x:c>
    </x:row>
    <x:row r="44" ht="64" customHeight="1">
      <x:c r="A44" s="15"/>
      <x:c r="B44" s="16"/>
      <x:c r="C44" s="12"/>
      <x:c r="D44" s="12"/>
      <x:c r="E44" s="12"/>
      <x:c r="F44" s="12"/>
      <x:c r="G44" s="12"/>
      <x:c r="H44" s="12"/>
      <x:c r="I44" s="10"/>
      <x:c r="J44" s="10"/>
      <x:c r="K44" s="10"/>
      <x:c r="L44" s="10"/>
      <x:c r="M44" s="10"/>
      <x:c r="N44" s="10"/>
      <x:c r="O44" s="12"/>
      <x:c r="P44" s="12"/>
      <x:c r="Q44" s="12"/>
      <x:c r="R44" s="12"/>
      <x:c r="S44" s="12"/>
      <x:c r="T44" s="13" t="str">
        <x:f>IF(A44="","",IF(OR(OR(NOT(ISTEXT(A44)),TRIM(A44)&lt;&gt;A44),COUNTIFS(QueryData[Query ID],"="&amp;SUBSTITUTE(SUBSTITUTE(SUBSTITUTE(A44,"~","~~"),"*","~*"),"?","~?"))&lt;&gt;1),"Fix duplicate or invalid query ID",IF(B44="","Write the information need",IF(C44="","Write relevance criteria",IF(OR(E44="",G44=""),"Record both exact queries",IF(NOT(OR(Comparison!$B$4=10,Comparison!$B$4=20)),"Choose cutoff 10 or 20",IF(Comparison!$N$4&gt;0,"Fix unassigned Records rows",IF(COUNTIFS(RecordData[Query ID],"="&amp;SUBSTITUTE(SUBSTITUTE(SUBSTITUTE(A44,"~","~~"),"*","~*"),"?","~?"),RecordData[Row status],"&lt;&gt;OK")&gt;0,"Fix Records row errors",IF(OR(K44&lt;&gt;"Yes",N44&lt;&gt;"Yes"),"Confirm both captures complete",IF(OR(NOT(ISNUMBER(I44)),NOT(ISNUMBER(L44)),NOT(OR(I44=10,I44=20)),NOT(OR(L44=10,L44=20))),"Record capture depths (10 or 20)",IF(OR(I44&lt;Comparison!$B$4,L44&lt;Comparison!$B$4),"Extend capture to the selected cutoff",IF(OR(IF(ISNUMBER(J44),OR(J44&lt;0,J44&lt;&gt;INT(J44)),TRUE),IF(ISNUMBER(M44),OR(M44&lt;0,M44&lt;&gt;INT(M44)),TRUE)),"Enter captured counts, including zero",IF(OR(COUNTIFS(RecordData[Query ID],"="&amp;SUBSTITUTE(SUBSTITUTE(SUBSTITUTE(A44,"~","~~"),"*","~*"),"?","~?"),RecordData[Rank A],"&gt;0")&lt;&gt;J44,COUNTIFS(RecordData[Query ID],"="&amp;SUBSTITUTE(SUBSTITUTE(SUBSTITUTE(A44,"~","~~"),"*","~*"),"?","~?"),RecordData[Rank B],"&gt;0")&lt;&gt;M44),"Captured counts disagree with Records",IF(OR(COUNTIFS(RecordData[Query ID],"="&amp;SUBSTITUTE(SUBSTITUTE(SUBSTITUTE(A44,"~","~~"),"*","~*"),"?","~?"),RecordData[Rank A],"&gt;"&amp;I44)&gt;0,COUNTIFS(RecordData[Query ID],"="&amp;SUBSTITUTE(SUBSTITUTE(SUBSTITUTE(A44,"~","~~"),"*","~*"),"?","~?"),RecordData[Rank B],"&gt;"&amp;L44)&gt;0),"Rank exceeds recorded capture depth","Ready"))))))))))))))</x:f>
      </x:c>
      <x:c r="U44" s="13" t="str">
        <x:f>IF(A44="","",IF(SUMIFS(RecordData[Unjudged at k],RecordData[Query ID],"="&amp;SUBSTITUTE(SUBSTITUTE(SUBSTITUTE(A44,"~","~~"),"*","~*"),"?","~?"))&gt;0,"Judge all pooled records at k","Judged"))</x:f>
      </x:c>
    </x:row>
    <x:row r="45" ht="64" customHeight="1">
      <x:c r="A45" s="15"/>
      <x:c r="B45" s="16"/>
      <x:c r="C45" s="12"/>
      <x:c r="D45" s="12"/>
      <x:c r="E45" s="12"/>
      <x:c r="F45" s="12"/>
      <x:c r="G45" s="12"/>
      <x:c r="H45" s="12"/>
      <x:c r="I45" s="10"/>
      <x:c r="J45" s="10"/>
      <x:c r="K45" s="10"/>
      <x:c r="L45" s="10"/>
      <x:c r="M45" s="10"/>
      <x:c r="N45" s="10"/>
      <x:c r="O45" s="12"/>
      <x:c r="P45" s="12"/>
      <x:c r="Q45" s="12"/>
      <x:c r="R45" s="12"/>
      <x:c r="S45" s="12"/>
      <x:c r="T45" s="13" t="str">
        <x:f>IF(A45="","",IF(OR(OR(NOT(ISTEXT(A45)),TRIM(A45)&lt;&gt;A45),COUNTIFS(QueryData[Query ID],"="&amp;SUBSTITUTE(SUBSTITUTE(SUBSTITUTE(A45,"~","~~"),"*","~*"),"?","~?"))&lt;&gt;1),"Fix duplicate or invalid query ID",IF(B45="","Write the information need",IF(C45="","Write relevance criteria",IF(OR(E45="",G45=""),"Record both exact queries",IF(NOT(OR(Comparison!$B$4=10,Comparison!$B$4=20)),"Choose cutoff 10 or 20",IF(Comparison!$N$4&gt;0,"Fix unassigned Records rows",IF(COUNTIFS(RecordData[Query ID],"="&amp;SUBSTITUTE(SUBSTITUTE(SUBSTITUTE(A45,"~","~~"),"*","~*"),"?","~?"),RecordData[Row status],"&lt;&gt;OK")&gt;0,"Fix Records row errors",IF(OR(K45&lt;&gt;"Yes",N45&lt;&gt;"Yes"),"Confirm both captures complete",IF(OR(NOT(ISNUMBER(I45)),NOT(ISNUMBER(L45)),NOT(OR(I45=10,I45=20)),NOT(OR(L45=10,L45=20))),"Record capture depths (10 or 20)",IF(OR(I45&lt;Comparison!$B$4,L45&lt;Comparison!$B$4),"Extend capture to the selected cutoff",IF(OR(IF(ISNUMBER(J45),OR(J45&lt;0,J45&lt;&gt;INT(J45)),TRUE),IF(ISNUMBER(M45),OR(M45&lt;0,M45&lt;&gt;INT(M45)),TRUE)),"Enter captured counts, including zero",IF(OR(COUNTIFS(RecordData[Query ID],"="&amp;SUBSTITUTE(SUBSTITUTE(SUBSTITUTE(A45,"~","~~"),"*","~*"),"?","~?"),RecordData[Rank A],"&gt;0")&lt;&gt;J45,COUNTIFS(RecordData[Query ID],"="&amp;SUBSTITUTE(SUBSTITUTE(SUBSTITUTE(A45,"~","~~"),"*","~*"),"?","~?"),RecordData[Rank B],"&gt;0")&lt;&gt;M45),"Captured counts disagree with Records",IF(OR(COUNTIFS(RecordData[Query ID],"="&amp;SUBSTITUTE(SUBSTITUTE(SUBSTITUTE(A45,"~","~~"),"*","~*"),"?","~?"),RecordData[Rank A],"&gt;"&amp;I45)&gt;0,COUNTIFS(RecordData[Query ID],"="&amp;SUBSTITUTE(SUBSTITUTE(SUBSTITUTE(A45,"~","~~"),"*","~*"),"?","~?"),RecordData[Rank B],"&gt;"&amp;L45)&gt;0),"Rank exceeds recorded capture depth","Ready"))))))))))))))</x:f>
      </x:c>
      <x:c r="U45" s="13" t="str">
        <x:f>IF(A45="","",IF(SUMIFS(RecordData[Unjudged at k],RecordData[Query ID],"="&amp;SUBSTITUTE(SUBSTITUTE(SUBSTITUTE(A45,"~","~~"),"*","~*"),"?","~?"))&gt;0,"Judge all pooled records at k","Judged"))</x:f>
      </x:c>
    </x:row>
    <x:row r="46" ht="64" customHeight="1">
      <x:c r="A46" s="15"/>
      <x:c r="B46" s="16"/>
      <x:c r="C46" s="12"/>
      <x:c r="D46" s="12"/>
      <x:c r="E46" s="12"/>
      <x:c r="F46" s="12"/>
      <x:c r="G46" s="12"/>
      <x:c r="H46" s="12"/>
      <x:c r="I46" s="10"/>
      <x:c r="J46" s="10"/>
      <x:c r="K46" s="10"/>
      <x:c r="L46" s="10"/>
      <x:c r="M46" s="10"/>
      <x:c r="N46" s="10"/>
      <x:c r="O46" s="12"/>
      <x:c r="P46" s="12"/>
      <x:c r="Q46" s="12"/>
      <x:c r="R46" s="12"/>
      <x:c r="S46" s="12"/>
      <x:c r="T46" s="13" t="str">
        <x:f>IF(A46="","",IF(OR(OR(NOT(ISTEXT(A46)),TRIM(A46)&lt;&gt;A46),COUNTIFS(QueryData[Query ID],"="&amp;SUBSTITUTE(SUBSTITUTE(SUBSTITUTE(A46,"~","~~"),"*","~*"),"?","~?"))&lt;&gt;1),"Fix duplicate or invalid query ID",IF(B46="","Write the information need",IF(C46="","Write relevance criteria",IF(OR(E46="",G46=""),"Record both exact queries",IF(NOT(OR(Comparison!$B$4=10,Comparison!$B$4=20)),"Choose cutoff 10 or 20",IF(Comparison!$N$4&gt;0,"Fix unassigned Records rows",IF(COUNTIFS(RecordData[Query ID],"="&amp;SUBSTITUTE(SUBSTITUTE(SUBSTITUTE(A46,"~","~~"),"*","~*"),"?","~?"),RecordData[Row status],"&lt;&gt;OK")&gt;0,"Fix Records row errors",IF(OR(K46&lt;&gt;"Yes",N46&lt;&gt;"Yes"),"Confirm both captures complete",IF(OR(NOT(ISNUMBER(I46)),NOT(ISNUMBER(L46)),NOT(OR(I46=10,I46=20)),NOT(OR(L46=10,L46=20))),"Record capture depths (10 or 20)",IF(OR(I46&lt;Comparison!$B$4,L46&lt;Comparison!$B$4),"Extend capture to the selected cutoff",IF(OR(IF(ISNUMBER(J46),OR(J46&lt;0,J46&lt;&gt;INT(J46)),TRUE),IF(ISNUMBER(M46),OR(M46&lt;0,M46&lt;&gt;INT(M46)),TRUE)),"Enter captured counts, including zero",IF(OR(COUNTIFS(RecordData[Query ID],"="&amp;SUBSTITUTE(SUBSTITUTE(SUBSTITUTE(A46,"~","~~"),"*","~*"),"?","~?"),RecordData[Rank A],"&gt;0")&lt;&gt;J46,COUNTIFS(RecordData[Query ID],"="&amp;SUBSTITUTE(SUBSTITUTE(SUBSTITUTE(A46,"~","~~"),"*","~*"),"?","~?"),RecordData[Rank B],"&gt;0")&lt;&gt;M46),"Captured counts disagree with Records",IF(OR(COUNTIFS(RecordData[Query ID],"="&amp;SUBSTITUTE(SUBSTITUTE(SUBSTITUTE(A46,"~","~~"),"*","~*"),"?","~?"),RecordData[Rank A],"&gt;"&amp;I46)&gt;0,COUNTIFS(RecordData[Query ID],"="&amp;SUBSTITUTE(SUBSTITUTE(SUBSTITUTE(A46,"~","~~"),"*","~*"),"?","~?"),RecordData[Rank B],"&gt;"&amp;L46)&gt;0),"Rank exceeds recorded capture depth","Ready"))))))))))))))</x:f>
      </x:c>
      <x:c r="U46" s="13" t="str">
        <x:f>IF(A46="","",IF(SUMIFS(RecordData[Unjudged at k],RecordData[Query ID],"="&amp;SUBSTITUTE(SUBSTITUTE(SUBSTITUTE(A46,"~","~~"),"*","~*"),"?","~?"))&gt;0,"Judge all pooled records at k","Judged"))</x:f>
      </x:c>
    </x:row>
    <x:row r="47" ht="64" customHeight="1">
      <x:c r="A47" s="15"/>
      <x:c r="B47" s="16"/>
      <x:c r="C47" s="12"/>
      <x:c r="D47" s="12"/>
      <x:c r="E47" s="12"/>
      <x:c r="F47" s="12"/>
      <x:c r="G47" s="12"/>
      <x:c r="H47" s="12"/>
      <x:c r="I47" s="10"/>
      <x:c r="J47" s="10"/>
      <x:c r="K47" s="10"/>
      <x:c r="L47" s="10"/>
      <x:c r="M47" s="10"/>
      <x:c r="N47" s="10"/>
      <x:c r="O47" s="12"/>
      <x:c r="P47" s="12"/>
      <x:c r="Q47" s="12"/>
      <x:c r="R47" s="12"/>
      <x:c r="S47" s="12"/>
      <x:c r="T47" s="13" t="str">
        <x:f>IF(A47="","",IF(OR(OR(NOT(ISTEXT(A47)),TRIM(A47)&lt;&gt;A47),COUNTIFS(QueryData[Query ID],"="&amp;SUBSTITUTE(SUBSTITUTE(SUBSTITUTE(A47,"~","~~"),"*","~*"),"?","~?"))&lt;&gt;1),"Fix duplicate or invalid query ID",IF(B47="","Write the information need",IF(C47="","Write relevance criteria",IF(OR(E47="",G47=""),"Record both exact queries",IF(NOT(OR(Comparison!$B$4=10,Comparison!$B$4=20)),"Choose cutoff 10 or 20",IF(Comparison!$N$4&gt;0,"Fix unassigned Records rows",IF(COUNTIFS(RecordData[Query ID],"="&amp;SUBSTITUTE(SUBSTITUTE(SUBSTITUTE(A47,"~","~~"),"*","~*"),"?","~?"),RecordData[Row status],"&lt;&gt;OK")&gt;0,"Fix Records row errors",IF(OR(K47&lt;&gt;"Yes",N47&lt;&gt;"Yes"),"Confirm both captures complete",IF(OR(NOT(ISNUMBER(I47)),NOT(ISNUMBER(L47)),NOT(OR(I47=10,I47=20)),NOT(OR(L47=10,L47=20))),"Record capture depths (10 or 20)",IF(OR(I47&lt;Comparison!$B$4,L47&lt;Comparison!$B$4),"Extend capture to the selected cutoff",IF(OR(IF(ISNUMBER(J47),OR(J47&lt;0,J47&lt;&gt;INT(J47)),TRUE),IF(ISNUMBER(M47),OR(M47&lt;0,M47&lt;&gt;INT(M47)),TRUE)),"Enter captured counts, including zero",IF(OR(COUNTIFS(RecordData[Query ID],"="&amp;SUBSTITUTE(SUBSTITUTE(SUBSTITUTE(A47,"~","~~"),"*","~*"),"?","~?"),RecordData[Rank A],"&gt;0")&lt;&gt;J47,COUNTIFS(RecordData[Query ID],"="&amp;SUBSTITUTE(SUBSTITUTE(SUBSTITUTE(A47,"~","~~"),"*","~*"),"?","~?"),RecordData[Rank B],"&gt;0")&lt;&gt;M47),"Captured counts disagree with Records",IF(OR(COUNTIFS(RecordData[Query ID],"="&amp;SUBSTITUTE(SUBSTITUTE(SUBSTITUTE(A47,"~","~~"),"*","~*"),"?","~?"),RecordData[Rank A],"&gt;"&amp;I47)&gt;0,COUNTIFS(RecordData[Query ID],"="&amp;SUBSTITUTE(SUBSTITUTE(SUBSTITUTE(A47,"~","~~"),"*","~*"),"?","~?"),RecordData[Rank B],"&gt;"&amp;L47)&gt;0),"Rank exceeds recorded capture depth","Ready"))))))))))))))</x:f>
      </x:c>
      <x:c r="U47" s="13" t="str">
        <x:f>IF(A47="","",IF(SUMIFS(RecordData[Unjudged at k],RecordData[Query ID],"="&amp;SUBSTITUTE(SUBSTITUTE(SUBSTITUTE(A47,"~","~~"),"*","~*"),"?","~?"))&gt;0,"Judge all pooled records at k","Judged"))</x:f>
      </x:c>
    </x:row>
    <x:row r="48" ht="64" customHeight="1">
      <x:c r="A48" s="15"/>
      <x:c r="B48" s="16"/>
      <x:c r="C48" s="12"/>
      <x:c r="D48" s="12"/>
      <x:c r="E48" s="12"/>
      <x:c r="F48" s="12"/>
      <x:c r="G48" s="12"/>
      <x:c r="H48" s="12"/>
      <x:c r="I48" s="10"/>
      <x:c r="J48" s="10"/>
      <x:c r="K48" s="10"/>
      <x:c r="L48" s="10"/>
      <x:c r="M48" s="10"/>
      <x:c r="N48" s="10"/>
      <x:c r="O48" s="12"/>
      <x:c r="P48" s="12"/>
      <x:c r="Q48" s="12"/>
      <x:c r="R48" s="12"/>
      <x:c r="S48" s="12"/>
      <x:c r="T48" s="13" t="str">
        <x:f>IF(A48="","",IF(OR(OR(NOT(ISTEXT(A48)),TRIM(A48)&lt;&gt;A48),COUNTIFS(QueryData[Query ID],"="&amp;SUBSTITUTE(SUBSTITUTE(SUBSTITUTE(A48,"~","~~"),"*","~*"),"?","~?"))&lt;&gt;1),"Fix duplicate or invalid query ID",IF(B48="","Write the information need",IF(C48="","Write relevance criteria",IF(OR(E48="",G48=""),"Record both exact queries",IF(NOT(OR(Comparison!$B$4=10,Comparison!$B$4=20)),"Choose cutoff 10 or 20",IF(Comparison!$N$4&gt;0,"Fix unassigned Records rows",IF(COUNTIFS(RecordData[Query ID],"="&amp;SUBSTITUTE(SUBSTITUTE(SUBSTITUTE(A48,"~","~~"),"*","~*"),"?","~?"),RecordData[Row status],"&lt;&gt;OK")&gt;0,"Fix Records row errors",IF(OR(K48&lt;&gt;"Yes",N48&lt;&gt;"Yes"),"Confirm both captures complete",IF(OR(NOT(ISNUMBER(I48)),NOT(ISNUMBER(L48)),NOT(OR(I48=10,I48=20)),NOT(OR(L48=10,L48=20))),"Record capture depths (10 or 20)",IF(OR(I48&lt;Comparison!$B$4,L48&lt;Comparison!$B$4),"Extend capture to the selected cutoff",IF(OR(IF(ISNUMBER(J48),OR(J48&lt;0,J48&lt;&gt;INT(J48)),TRUE),IF(ISNUMBER(M48),OR(M48&lt;0,M48&lt;&gt;INT(M48)),TRUE)),"Enter captured counts, including zero",IF(OR(COUNTIFS(RecordData[Query ID],"="&amp;SUBSTITUTE(SUBSTITUTE(SUBSTITUTE(A48,"~","~~"),"*","~*"),"?","~?"),RecordData[Rank A],"&gt;0")&lt;&gt;J48,COUNTIFS(RecordData[Query ID],"="&amp;SUBSTITUTE(SUBSTITUTE(SUBSTITUTE(A48,"~","~~"),"*","~*"),"?","~?"),RecordData[Rank B],"&gt;0")&lt;&gt;M48),"Captured counts disagree with Records",IF(OR(COUNTIFS(RecordData[Query ID],"="&amp;SUBSTITUTE(SUBSTITUTE(SUBSTITUTE(A48,"~","~~"),"*","~*"),"?","~?"),RecordData[Rank A],"&gt;"&amp;I48)&gt;0,COUNTIFS(RecordData[Query ID],"="&amp;SUBSTITUTE(SUBSTITUTE(SUBSTITUTE(A48,"~","~~"),"*","~*"),"?","~?"),RecordData[Rank B],"&gt;"&amp;L48)&gt;0),"Rank exceeds recorded capture depth","Ready"))))))))))))))</x:f>
      </x:c>
      <x:c r="U48" s="13" t="str">
        <x:f>IF(A48="","",IF(SUMIFS(RecordData[Unjudged at k],RecordData[Query ID],"="&amp;SUBSTITUTE(SUBSTITUTE(SUBSTITUTE(A48,"~","~~"),"*","~*"),"?","~?"))&gt;0,"Judge all pooled records at k","Judged"))</x:f>
      </x:c>
    </x:row>
    <x:row r="49" ht="64" customHeight="1">
      <x:c r="A49" s="15"/>
      <x:c r="B49" s="16"/>
      <x:c r="C49" s="12"/>
      <x:c r="D49" s="12"/>
      <x:c r="E49" s="12"/>
      <x:c r="F49" s="12"/>
      <x:c r="G49" s="12"/>
      <x:c r="H49" s="12"/>
      <x:c r="I49" s="10"/>
      <x:c r="J49" s="10"/>
      <x:c r="K49" s="10"/>
      <x:c r="L49" s="10"/>
      <x:c r="M49" s="10"/>
      <x:c r="N49" s="10"/>
      <x:c r="O49" s="12"/>
      <x:c r="P49" s="12"/>
      <x:c r="Q49" s="12"/>
      <x:c r="R49" s="12"/>
      <x:c r="S49" s="12"/>
      <x:c r="T49" s="13" t="str">
        <x:f>IF(A49="","",IF(OR(OR(NOT(ISTEXT(A49)),TRIM(A49)&lt;&gt;A49),COUNTIFS(QueryData[Query ID],"="&amp;SUBSTITUTE(SUBSTITUTE(SUBSTITUTE(A49,"~","~~"),"*","~*"),"?","~?"))&lt;&gt;1),"Fix duplicate or invalid query ID",IF(B49="","Write the information need",IF(C49="","Write relevance criteria",IF(OR(E49="",G49=""),"Record both exact queries",IF(NOT(OR(Comparison!$B$4=10,Comparison!$B$4=20)),"Choose cutoff 10 or 20",IF(Comparison!$N$4&gt;0,"Fix unassigned Records rows",IF(COUNTIFS(RecordData[Query ID],"="&amp;SUBSTITUTE(SUBSTITUTE(SUBSTITUTE(A49,"~","~~"),"*","~*"),"?","~?"),RecordData[Row status],"&lt;&gt;OK")&gt;0,"Fix Records row errors",IF(OR(K49&lt;&gt;"Yes",N49&lt;&gt;"Yes"),"Confirm both captures complete",IF(OR(NOT(ISNUMBER(I49)),NOT(ISNUMBER(L49)),NOT(OR(I49=10,I49=20)),NOT(OR(L49=10,L49=20))),"Record capture depths (10 or 20)",IF(OR(I49&lt;Comparison!$B$4,L49&lt;Comparison!$B$4),"Extend capture to the selected cutoff",IF(OR(IF(ISNUMBER(J49),OR(J49&lt;0,J49&lt;&gt;INT(J49)),TRUE),IF(ISNUMBER(M49),OR(M49&lt;0,M49&lt;&gt;INT(M49)),TRUE)),"Enter captured counts, including zero",IF(OR(COUNTIFS(RecordData[Query ID],"="&amp;SUBSTITUTE(SUBSTITUTE(SUBSTITUTE(A49,"~","~~"),"*","~*"),"?","~?"),RecordData[Rank A],"&gt;0")&lt;&gt;J49,COUNTIFS(RecordData[Query ID],"="&amp;SUBSTITUTE(SUBSTITUTE(SUBSTITUTE(A49,"~","~~"),"*","~*"),"?","~?"),RecordData[Rank B],"&gt;0")&lt;&gt;M49),"Captured counts disagree with Records",IF(OR(COUNTIFS(RecordData[Query ID],"="&amp;SUBSTITUTE(SUBSTITUTE(SUBSTITUTE(A49,"~","~~"),"*","~*"),"?","~?"),RecordData[Rank A],"&gt;"&amp;I49)&gt;0,COUNTIFS(RecordData[Query ID],"="&amp;SUBSTITUTE(SUBSTITUTE(SUBSTITUTE(A49,"~","~~"),"*","~*"),"?","~?"),RecordData[Rank B],"&gt;"&amp;L49)&gt;0),"Rank exceeds recorded capture depth","Ready"))))))))))))))</x:f>
      </x:c>
      <x:c r="U49" s="13" t="str">
        <x:f>IF(A49="","",IF(SUMIFS(RecordData[Unjudged at k],RecordData[Query ID],"="&amp;SUBSTITUTE(SUBSTITUTE(SUBSTITUTE(A49,"~","~~"),"*","~*"),"?","~?"))&gt;0,"Judge all pooled records at k","Judged"))</x:f>
      </x:c>
    </x:row>
    <x:row r="50" ht="64" customHeight="1">
      <x:c r="A50" s="15"/>
      <x:c r="B50" s="16"/>
      <x:c r="C50" s="12"/>
      <x:c r="D50" s="12"/>
      <x:c r="E50" s="12"/>
      <x:c r="F50" s="12"/>
      <x:c r="G50" s="12"/>
      <x:c r="H50" s="12"/>
      <x:c r="I50" s="10"/>
      <x:c r="J50" s="10"/>
      <x:c r="K50" s="10"/>
      <x:c r="L50" s="10"/>
      <x:c r="M50" s="10"/>
      <x:c r="N50" s="10"/>
      <x:c r="O50" s="12"/>
      <x:c r="P50" s="12"/>
      <x:c r="Q50" s="12"/>
      <x:c r="R50" s="12"/>
      <x:c r="S50" s="12"/>
      <x:c r="T50" s="13" t="str">
        <x:f>IF(A50="","",IF(OR(OR(NOT(ISTEXT(A50)),TRIM(A50)&lt;&gt;A50),COUNTIFS(QueryData[Query ID],"="&amp;SUBSTITUTE(SUBSTITUTE(SUBSTITUTE(A50,"~","~~"),"*","~*"),"?","~?"))&lt;&gt;1),"Fix duplicate or invalid query ID",IF(B50="","Write the information need",IF(C50="","Write relevance criteria",IF(OR(E50="",G50=""),"Record both exact queries",IF(NOT(OR(Comparison!$B$4=10,Comparison!$B$4=20)),"Choose cutoff 10 or 20",IF(Comparison!$N$4&gt;0,"Fix unassigned Records rows",IF(COUNTIFS(RecordData[Query ID],"="&amp;SUBSTITUTE(SUBSTITUTE(SUBSTITUTE(A50,"~","~~"),"*","~*"),"?","~?"),RecordData[Row status],"&lt;&gt;OK")&gt;0,"Fix Records row errors",IF(OR(K50&lt;&gt;"Yes",N50&lt;&gt;"Yes"),"Confirm both captures complete",IF(OR(NOT(ISNUMBER(I50)),NOT(ISNUMBER(L50)),NOT(OR(I50=10,I50=20)),NOT(OR(L50=10,L50=20))),"Record capture depths (10 or 20)",IF(OR(I50&lt;Comparison!$B$4,L50&lt;Comparison!$B$4),"Extend capture to the selected cutoff",IF(OR(IF(ISNUMBER(J50),OR(J50&lt;0,J50&lt;&gt;INT(J50)),TRUE),IF(ISNUMBER(M50),OR(M50&lt;0,M50&lt;&gt;INT(M50)),TRUE)),"Enter captured counts, including zero",IF(OR(COUNTIFS(RecordData[Query ID],"="&amp;SUBSTITUTE(SUBSTITUTE(SUBSTITUTE(A50,"~","~~"),"*","~*"),"?","~?"),RecordData[Rank A],"&gt;0")&lt;&gt;J50,COUNTIFS(RecordData[Query ID],"="&amp;SUBSTITUTE(SUBSTITUTE(SUBSTITUTE(A50,"~","~~"),"*","~*"),"?","~?"),RecordData[Rank B],"&gt;0")&lt;&gt;M50),"Captured counts disagree with Records",IF(OR(COUNTIFS(RecordData[Query ID],"="&amp;SUBSTITUTE(SUBSTITUTE(SUBSTITUTE(A50,"~","~~"),"*","~*"),"?","~?"),RecordData[Rank A],"&gt;"&amp;I50)&gt;0,COUNTIFS(RecordData[Query ID],"="&amp;SUBSTITUTE(SUBSTITUTE(SUBSTITUTE(A50,"~","~~"),"*","~*"),"?","~?"),RecordData[Rank B],"&gt;"&amp;L50)&gt;0),"Rank exceeds recorded capture depth","Ready"))))))))))))))</x:f>
      </x:c>
      <x:c r="U50" s="13" t="str">
        <x:f>IF(A50="","",IF(SUMIFS(RecordData[Unjudged at k],RecordData[Query ID],"="&amp;SUBSTITUTE(SUBSTITUTE(SUBSTITUTE(A50,"~","~~"),"*","~*"),"?","~?"))&gt;0,"Judge all pooled records at k","Judged"))</x:f>
      </x:c>
    </x:row>
    <x:row r="51" ht="64" customHeight="1">
      <x:c r="A51" s="15"/>
      <x:c r="B51" s="16"/>
      <x:c r="C51" s="12"/>
      <x:c r="D51" s="12"/>
      <x:c r="E51" s="12"/>
      <x:c r="F51" s="12"/>
      <x:c r="G51" s="12"/>
      <x:c r="H51" s="12"/>
      <x:c r="I51" s="10"/>
      <x:c r="J51" s="10"/>
      <x:c r="K51" s="10"/>
      <x:c r="L51" s="10"/>
      <x:c r="M51" s="10"/>
      <x:c r="N51" s="10"/>
      <x:c r="O51" s="12"/>
      <x:c r="P51" s="12"/>
      <x:c r="Q51" s="12"/>
      <x:c r="R51" s="12"/>
      <x:c r="S51" s="12"/>
      <x:c r="T51" s="13" t="str">
        <x:f>IF(A51="","",IF(OR(OR(NOT(ISTEXT(A51)),TRIM(A51)&lt;&gt;A51),COUNTIFS(QueryData[Query ID],"="&amp;SUBSTITUTE(SUBSTITUTE(SUBSTITUTE(A51,"~","~~"),"*","~*"),"?","~?"))&lt;&gt;1),"Fix duplicate or invalid query ID",IF(B51="","Write the information need",IF(C51="","Write relevance criteria",IF(OR(E51="",G51=""),"Record both exact queries",IF(NOT(OR(Comparison!$B$4=10,Comparison!$B$4=20)),"Choose cutoff 10 or 20",IF(Comparison!$N$4&gt;0,"Fix unassigned Records rows",IF(COUNTIFS(RecordData[Query ID],"="&amp;SUBSTITUTE(SUBSTITUTE(SUBSTITUTE(A51,"~","~~"),"*","~*"),"?","~?"),RecordData[Row status],"&lt;&gt;OK")&gt;0,"Fix Records row errors",IF(OR(K51&lt;&gt;"Yes",N51&lt;&gt;"Yes"),"Confirm both captures complete",IF(OR(NOT(ISNUMBER(I51)),NOT(ISNUMBER(L51)),NOT(OR(I51=10,I51=20)),NOT(OR(L51=10,L51=20))),"Record capture depths (10 or 20)",IF(OR(I51&lt;Comparison!$B$4,L51&lt;Comparison!$B$4),"Extend capture to the selected cutoff",IF(OR(IF(ISNUMBER(J51),OR(J51&lt;0,J51&lt;&gt;INT(J51)),TRUE),IF(ISNUMBER(M51),OR(M51&lt;0,M51&lt;&gt;INT(M51)),TRUE)),"Enter captured counts, including zero",IF(OR(COUNTIFS(RecordData[Query ID],"="&amp;SUBSTITUTE(SUBSTITUTE(SUBSTITUTE(A51,"~","~~"),"*","~*"),"?","~?"),RecordData[Rank A],"&gt;0")&lt;&gt;J51,COUNTIFS(RecordData[Query ID],"="&amp;SUBSTITUTE(SUBSTITUTE(SUBSTITUTE(A51,"~","~~"),"*","~*"),"?","~?"),RecordData[Rank B],"&gt;0")&lt;&gt;M51),"Captured counts disagree with Records",IF(OR(COUNTIFS(RecordData[Query ID],"="&amp;SUBSTITUTE(SUBSTITUTE(SUBSTITUTE(A51,"~","~~"),"*","~*"),"?","~?"),RecordData[Rank A],"&gt;"&amp;I51)&gt;0,COUNTIFS(RecordData[Query ID],"="&amp;SUBSTITUTE(SUBSTITUTE(SUBSTITUTE(A51,"~","~~"),"*","~*"),"?","~?"),RecordData[Rank B],"&gt;"&amp;L51)&gt;0),"Rank exceeds recorded capture depth","Ready"))))))))))))))</x:f>
      </x:c>
      <x:c r="U51" s="13" t="str">
        <x:f>IF(A51="","",IF(SUMIFS(RecordData[Unjudged at k],RecordData[Query ID],"="&amp;SUBSTITUTE(SUBSTITUTE(SUBSTITUTE(A51,"~","~~"),"*","~*"),"?","~?"))&gt;0,"Judge all pooled records at k","Judged"))</x:f>
      </x:c>
    </x:row>
    <x:row r="52" ht="64" customHeight="1">
      <x:c r="A52" s="15"/>
      <x:c r="B52" s="16"/>
      <x:c r="C52" s="12"/>
      <x:c r="D52" s="12"/>
      <x:c r="E52" s="12"/>
      <x:c r="F52" s="12"/>
      <x:c r="G52" s="12"/>
      <x:c r="H52" s="12"/>
      <x:c r="I52" s="10"/>
      <x:c r="J52" s="10"/>
      <x:c r="K52" s="10"/>
      <x:c r="L52" s="10"/>
      <x:c r="M52" s="10"/>
      <x:c r="N52" s="10"/>
      <x:c r="O52" s="12"/>
      <x:c r="P52" s="12"/>
      <x:c r="Q52" s="12"/>
      <x:c r="R52" s="12"/>
      <x:c r="S52" s="12"/>
      <x:c r="T52" s="13" t="str">
        <x:f>IF(A52="","",IF(OR(OR(NOT(ISTEXT(A52)),TRIM(A52)&lt;&gt;A52),COUNTIFS(QueryData[Query ID],"="&amp;SUBSTITUTE(SUBSTITUTE(SUBSTITUTE(A52,"~","~~"),"*","~*"),"?","~?"))&lt;&gt;1),"Fix duplicate or invalid query ID",IF(B52="","Write the information need",IF(C52="","Write relevance criteria",IF(OR(E52="",G52=""),"Record both exact queries",IF(NOT(OR(Comparison!$B$4=10,Comparison!$B$4=20)),"Choose cutoff 10 or 20",IF(Comparison!$N$4&gt;0,"Fix unassigned Records rows",IF(COUNTIFS(RecordData[Query ID],"="&amp;SUBSTITUTE(SUBSTITUTE(SUBSTITUTE(A52,"~","~~"),"*","~*"),"?","~?"),RecordData[Row status],"&lt;&gt;OK")&gt;0,"Fix Records row errors",IF(OR(K52&lt;&gt;"Yes",N52&lt;&gt;"Yes"),"Confirm both captures complete",IF(OR(NOT(ISNUMBER(I52)),NOT(ISNUMBER(L52)),NOT(OR(I52=10,I52=20)),NOT(OR(L52=10,L52=20))),"Record capture depths (10 or 20)",IF(OR(I52&lt;Comparison!$B$4,L52&lt;Comparison!$B$4),"Extend capture to the selected cutoff",IF(OR(IF(ISNUMBER(J52),OR(J52&lt;0,J52&lt;&gt;INT(J52)),TRUE),IF(ISNUMBER(M52),OR(M52&lt;0,M52&lt;&gt;INT(M52)),TRUE)),"Enter captured counts, including zero",IF(OR(COUNTIFS(RecordData[Query ID],"="&amp;SUBSTITUTE(SUBSTITUTE(SUBSTITUTE(A52,"~","~~"),"*","~*"),"?","~?"),RecordData[Rank A],"&gt;0")&lt;&gt;J52,COUNTIFS(RecordData[Query ID],"="&amp;SUBSTITUTE(SUBSTITUTE(SUBSTITUTE(A52,"~","~~"),"*","~*"),"?","~?"),RecordData[Rank B],"&gt;0")&lt;&gt;M52),"Captured counts disagree with Records",IF(OR(COUNTIFS(RecordData[Query ID],"="&amp;SUBSTITUTE(SUBSTITUTE(SUBSTITUTE(A52,"~","~~"),"*","~*"),"?","~?"),RecordData[Rank A],"&gt;"&amp;I52)&gt;0,COUNTIFS(RecordData[Query ID],"="&amp;SUBSTITUTE(SUBSTITUTE(SUBSTITUTE(A52,"~","~~"),"*","~*"),"?","~?"),RecordData[Rank B],"&gt;"&amp;L52)&gt;0),"Rank exceeds recorded capture depth","Ready"))))))))))))))</x:f>
      </x:c>
      <x:c r="U52" s="13" t="str">
        <x:f>IF(A52="","",IF(SUMIFS(RecordData[Unjudged at k],RecordData[Query ID],"="&amp;SUBSTITUTE(SUBSTITUTE(SUBSTITUTE(A52,"~","~~"),"*","~*"),"?","~?"))&gt;0,"Judge all pooled records at k","Judged"))</x:f>
      </x:c>
    </x:row>
    <x:row r="53" ht="64" customHeight="1">
      <x:c r="A53" s="15"/>
      <x:c r="B53" s="16"/>
      <x:c r="C53" s="12"/>
      <x:c r="D53" s="12"/>
      <x:c r="E53" s="12"/>
      <x:c r="F53" s="12"/>
      <x:c r="G53" s="12"/>
      <x:c r="H53" s="12"/>
      <x:c r="I53" s="10"/>
      <x:c r="J53" s="10"/>
      <x:c r="K53" s="10"/>
      <x:c r="L53" s="10"/>
      <x:c r="M53" s="10"/>
      <x:c r="N53" s="10"/>
      <x:c r="O53" s="12"/>
      <x:c r="P53" s="12"/>
      <x:c r="Q53" s="12"/>
      <x:c r="R53" s="12"/>
      <x:c r="S53" s="12"/>
      <x:c r="T53" s="13" t="str">
        <x:f>IF(A53="","",IF(OR(OR(NOT(ISTEXT(A53)),TRIM(A53)&lt;&gt;A53),COUNTIFS(QueryData[Query ID],"="&amp;SUBSTITUTE(SUBSTITUTE(SUBSTITUTE(A53,"~","~~"),"*","~*"),"?","~?"))&lt;&gt;1),"Fix duplicate or invalid query ID",IF(B53="","Write the information need",IF(C53="","Write relevance criteria",IF(OR(E53="",G53=""),"Record both exact queries",IF(NOT(OR(Comparison!$B$4=10,Comparison!$B$4=20)),"Choose cutoff 10 or 20",IF(Comparison!$N$4&gt;0,"Fix unassigned Records rows",IF(COUNTIFS(RecordData[Query ID],"="&amp;SUBSTITUTE(SUBSTITUTE(SUBSTITUTE(A53,"~","~~"),"*","~*"),"?","~?"),RecordData[Row status],"&lt;&gt;OK")&gt;0,"Fix Records row errors",IF(OR(K53&lt;&gt;"Yes",N53&lt;&gt;"Yes"),"Confirm both captures complete",IF(OR(NOT(ISNUMBER(I53)),NOT(ISNUMBER(L53)),NOT(OR(I53=10,I53=20)),NOT(OR(L53=10,L53=20))),"Record capture depths (10 or 20)",IF(OR(I53&lt;Comparison!$B$4,L53&lt;Comparison!$B$4),"Extend capture to the selected cutoff",IF(OR(IF(ISNUMBER(J53),OR(J53&lt;0,J53&lt;&gt;INT(J53)),TRUE),IF(ISNUMBER(M53),OR(M53&lt;0,M53&lt;&gt;INT(M53)),TRUE)),"Enter captured counts, including zero",IF(OR(COUNTIFS(RecordData[Query ID],"="&amp;SUBSTITUTE(SUBSTITUTE(SUBSTITUTE(A53,"~","~~"),"*","~*"),"?","~?"),RecordData[Rank A],"&gt;0")&lt;&gt;J53,COUNTIFS(RecordData[Query ID],"="&amp;SUBSTITUTE(SUBSTITUTE(SUBSTITUTE(A53,"~","~~"),"*","~*"),"?","~?"),RecordData[Rank B],"&gt;0")&lt;&gt;M53),"Captured counts disagree with Records",IF(OR(COUNTIFS(RecordData[Query ID],"="&amp;SUBSTITUTE(SUBSTITUTE(SUBSTITUTE(A53,"~","~~"),"*","~*"),"?","~?"),RecordData[Rank A],"&gt;"&amp;I53)&gt;0,COUNTIFS(RecordData[Query ID],"="&amp;SUBSTITUTE(SUBSTITUTE(SUBSTITUTE(A53,"~","~~"),"*","~*"),"?","~?"),RecordData[Rank B],"&gt;"&amp;L53)&gt;0),"Rank exceeds recorded capture depth","Ready"))))))))))))))</x:f>
      </x:c>
      <x:c r="U53" s="13" t="str">
        <x:f>IF(A53="","",IF(SUMIFS(RecordData[Unjudged at k],RecordData[Query ID],"="&amp;SUBSTITUTE(SUBSTITUTE(SUBSTITUTE(A53,"~","~~"),"*","~*"),"?","~?"))&gt;0,"Judge all pooled records at k","Judged"))</x:f>
      </x:c>
    </x:row>
    <x:row r="54" ht="64" customHeight="1">
      <x:c r="A54" s="15"/>
      <x:c r="B54" s="16"/>
      <x:c r="C54" s="12"/>
      <x:c r="D54" s="12"/>
      <x:c r="E54" s="12"/>
      <x:c r="F54" s="12"/>
      <x:c r="G54" s="12"/>
      <x:c r="H54" s="12"/>
      <x:c r="I54" s="10"/>
      <x:c r="J54" s="10"/>
      <x:c r="K54" s="10"/>
      <x:c r="L54" s="10"/>
      <x:c r="M54" s="10"/>
      <x:c r="N54" s="10"/>
      <x:c r="O54" s="12"/>
      <x:c r="P54" s="12"/>
      <x:c r="Q54" s="12"/>
      <x:c r="R54" s="12"/>
      <x:c r="S54" s="12"/>
      <x:c r="T54" s="13" t="str">
        <x:f>IF(A54="","",IF(OR(OR(NOT(ISTEXT(A54)),TRIM(A54)&lt;&gt;A54),COUNTIFS(QueryData[Query ID],"="&amp;SUBSTITUTE(SUBSTITUTE(SUBSTITUTE(A54,"~","~~"),"*","~*"),"?","~?"))&lt;&gt;1),"Fix duplicate or invalid query ID",IF(B54="","Write the information need",IF(C54="","Write relevance criteria",IF(OR(E54="",G54=""),"Record both exact queries",IF(NOT(OR(Comparison!$B$4=10,Comparison!$B$4=20)),"Choose cutoff 10 or 20",IF(Comparison!$N$4&gt;0,"Fix unassigned Records rows",IF(COUNTIFS(RecordData[Query ID],"="&amp;SUBSTITUTE(SUBSTITUTE(SUBSTITUTE(A54,"~","~~"),"*","~*"),"?","~?"),RecordData[Row status],"&lt;&gt;OK")&gt;0,"Fix Records row errors",IF(OR(K54&lt;&gt;"Yes",N54&lt;&gt;"Yes"),"Confirm both captures complete",IF(OR(NOT(ISNUMBER(I54)),NOT(ISNUMBER(L54)),NOT(OR(I54=10,I54=20)),NOT(OR(L54=10,L54=20))),"Record capture depths (10 or 20)",IF(OR(I54&lt;Comparison!$B$4,L54&lt;Comparison!$B$4),"Extend capture to the selected cutoff",IF(OR(IF(ISNUMBER(J54),OR(J54&lt;0,J54&lt;&gt;INT(J54)),TRUE),IF(ISNUMBER(M54),OR(M54&lt;0,M54&lt;&gt;INT(M54)),TRUE)),"Enter captured counts, including zero",IF(OR(COUNTIFS(RecordData[Query ID],"="&amp;SUBSTITUTE(SUBSTITUTE(SUBSTITUTE(A54,"~","~~"),"*","~*"),"?","~?"),RecordData[Rank A],"&gt;0")&lt;&gt;J54,COUNTIFS(RecordData[Query ID],"="&amp;SUBSTITUTE(SUBSTITUTE(SUBSTITUTE(A54,"~","~~"),"*","~*"),"?","~?"),RecordData[Rank B],"&gt;0")&lt;&gt;M54),"Captured counts disagree with Records",IF(OR(COUNTIFS(RecordData[Query ID],"="&amp;SUBSTITUTE(SUBSTITUTE(SUBSTITUTE(A54,"~","~~"),"*","~*"),"?","~?"),RecordData[Rank A],"&gt;"&amp;I54)&gt;0,COUNTIFS(RecordData[Query ID],"="&amp;SUBSTITUTE(SUBSTITUTE(SUBSTITUTE(A54,"~","~~"),"*","~*"),"?","~?"),RecordData[Rank B],"&gt;"&amp;L54)&gt;0),"Rank exceeds recorded capture depth","Ready"))))))))))))))</x:f>
      </x:c>
      <x:c r="U54" s="13" t="str">
        <x:f>IF(A54="","",IF(SUMIFS(RecordData[Unjudged at k],RecordData[Query ID],"="&amp;SUBSTITUTE(SUBSTITUTE(SUBSTITUTE(A54,"~","~~"),"*","~*"),"?","~?"))&gt;0,"Judge all pooled records at k","Judged"))</x:f>
      </x:c>
    </x:row>
    <x:row r="55" ht="64" customHeight="1">
      <x:c r="A55" s="15"/>
      <x:c r="B55" s="16"/>
      <x:c r="C55" s="12"/>
      <x:c r="D55" s="12"/>
      <x:c r="E55" s="12"/>
      <x:c r="F55" s="12"/>
      <x:c r="G55" s="12"/>
      <x:c r="H55" s="12"/>
      <x:c r="I55" s="10"/>
      <x:c r="J55" s="10"/>
      <x:c r="K55" s="10"/>
      <x:c r="L55" s="10"/>
      <x:c r="M55" s="10"/>
      <x:c r="N55" s="10"/>
      <x:c r="O55" s="12"/>
      <x:c r="P55" s="12"/>
      <x:c r="Q55" s="12"/>
      <x:c r="R55" s="12"/>
      <x:c r="S55" s="12"/>
      <x:c r="T55" s="13" t="str">
        <x:f>IF(A55="","",IF(OR(OR(NOT(ISTEXT(A55)),TRIM(A55)&lt;&gt;A55),COUNTIFS(QueryData[Query ID],"="&amp;SUBSTITUTE(SUBSTITUTE(SUBSTITUTE(A55,"~","~~"),"*","~*"),"?","~?"))&lt;&gt;1),"Fix duplicate or invalid query ID",IF(B55="","Write the information need",IF(C55="","Write relevance criteria",IF(OR(E55="",G55=""),"Record both exact queries",IF(NOT(OR(Comparison!$B$4=10,Comparison!$B$4=20)),"Choose cutoff 10 or 20",IF(Comparison!$N$4&gt;0,"Fix unassigned Records rows",IF(COUNTIFS(RecordData[Query ID],"="&amp;SUBSTITUTE(SUBSTITUTE(SUBSTITUTE(A55,"~","~~"),"*","~*"),"?","~?"),RecordData[Row status],"&lt;&gt;OK")&gt;0,"Fix Records row errors",IF(OR(K55&lt;&gt;"Yes",N55&lt;&gt;"Yes"),"Confirm both captures complete",IF(OR(NOT(ISNUMBER(I55)),NOT(ISNUMBER(L55)),NOT(OR(I55=10,I55=20)),NOT(OR(L55=10,L55=20))),"Record capture depths (10 or 20)",IF(OR(I55&lt;Comparison!$B$4,L55&lt;Comparison!$B$4),"Extend capture to the selected cutoff",IF(OR(IF(ISNUMBER(J55),OR(J55&lt;0,J55&lt;&gt;INT(J55)),TRUE),IF(ISNUMBER(M55),OR(M55&lt;0,M55&lt;&gt;INT(M55)),TRUE)),"Enter captured counts, including zero",IF(OR(COUNTIFS(RecordData[Query ID],"="&amp;SUBSTITUTE(SUBSTITUTE(SUBSTITUTE(A55,"~","~~"),"*","~*"),"?","~?"),RecordData[Rank A],"&gt;0")&lt;&gt;J55,COUNTIFS(RecordData[Query ID],"="&amp;SUBSTITUTE(SUBSTITUTE(SUBSTITUTE(A55,"~","~~"),"*","~*"),"?","~?"),RecordData[Rank B],"&gt;0")&lt;&gt;M55),"Captured counts disagree with Records",IF(OR(COUNTIFS(RecordData[Query ID],"="&amp;SUBSTITUTE(SUBSTITUTE(SUBSTITUTE(A55,"~","~~"),"*","~*"),"?","~?"),RecordData[Rank A],"&gt;"&amp;I55)&gt;0,COUNTIFS(RecordData[Query ID],"="&amp;SUBSTITUTE(SUBSTITUTE(SUBSTITUTE(A55,"~","~~"),"*","~*"),"?","~?"),RecordData[Rank B],"&gt;"&amp;L55)&gt;0),"Rank exceeds recorded capture depth","Ready"))))))))))))))</x:f>
      </x:c>
      <x:c r="U55" s="13" t="str">
        <x:f>IF(A55="","",IF(SUMIFS(RecordData[Unjudged at k],RecordData[Query ID],"="&amp;SUBSTITUTE(SUBSTITUTE(SUBSTITUTE(A55,"~","~~"),"*","~*"),"?","~?"))&gt;0,"Judge all pooled records at k","Judged"))</x:f>
      </x:c>
    </x:row>
  </x:sheetData>
  <x:dataValidations count="6">
    <x:dataValidation type="list" sqref="K6:K55">
      <x:formula1>"Yes,No"</x:formula1>
    </x:dataValidation>
    <x:dataValidation type="list" sqref="N6:N55">
      <x:formula1>"Yes,No"</x:formula1>
    </x:dataValidation>
    <x:dataValidation type="list" sqref="I6:I55">
      <x:formula1>"10,20"</x:formula1>
    </x:dataValidation>
    <x:dataValidation type="list" sqref="L6:L55">
      <x:formula1>"10,20"</x:formula1>
    </x:dataValidation>
    <x:dataValidation type="whole" operator="between" sqref="J6:J55">
      <x:formula1>0</x:formula1>
      <x:formula2>20</x:formula2>
    </x:dataValidation>
    <x:dataValidation type="whole" operator="between" sqref="M6:M55">
      <x:formula1>0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28993b8a8a44f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5" hidden="0" customWidth="1"/>
    <x:col min="2" max="2" width="17" hidden="0" customWidth="1"/>
    <x:col min="3" max="3" width="55" hidden="0" customWidth="1"/>
    <x:col min="4" max="4" width="19" hidden="0" customWidth="1"/>
    <x:col min="5" max="5" width="48" hidden="0" customWidth="1"/>
    <x:col min="6" max="6" width="12" hidden="0" customWidth="1"/>
    <x:col min="7" max="7" width="12" hidden="0" customWidth="1"/>
    <x:col min="8" max="8" width="12" hidden="0" customWidth="1"/>
    <x:col min="9" max="9" width="39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7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Pool records and judge once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3" t="str">
        <x:v>One row per query–record pair. Keep original ranks. Blank rank = absent from the captured list. Blank judgement = unjudged.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 t="str">
        <x:v>Source: Figure 14.1. Seed subset A, C, E, G, J is an explicit teaching addition.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36" customHeight="1">
      <x:c r="A5" s="8" t="str">
        <x:v>Query ID</x:v>
      </x:c>
      <x:c r="B5" s="8" t="str">
        <x:v>Record ID</x:v>
      </x:c>
      <x:c r="C5" s="8" t="str">
        <x:v>Citation or link</x:v>
      </x:c>
      <x:c r="D5" s="8" t="str">
        <x:v>Judgement</x:v>
      </x:c>
      <x:c r="E5" s="8" t="str">
        <x:v>Evidence or notes</x:v>
      </x:c>
      <x:c r="F5" s="8" t="str">
        <x:v>Seed</x:v>
      </x:c>
      <x:c r="G5" s="8" t="str">
        <x:v>Rank A</x:v>
      </x:c>
      <x:c r="H5" s="8" t="str">
        <x:v>Rank B</x:v>
      </x:c>
      <x:c r="I5" s="8" t="str">
        <x:v>Row status</x:v>
      </x:c>
      <x:c r="J5" s="8" t="str">
        <x:v>In A at k</x:v>
      </x:c>
      <x:c r="K5" s="8" t="str">
        <x:v>In B at k</x:v>
      </x:c>
      <x:c r="L5" s="8" t="str">
        <x:v>Relevant A</x:v>
      </x:c>
      <x:c r="M5" s="8" t="str">
        <x:v>Relevant B</x:v>
      </x:c>
      <x:c r="N5" s="8" t="str">
        <x:v>Unjudged at k</x:v>
      </x:c>
      <x:c r="O5" s="8" t="str">
        <x:v>Seed A</x:v>
      </x:c>
      <x:c r="P5" s="8" t="str">
        <x:v>Seed B</x:v>
      </x:c>
      <x:c r="Q5" s="8" t="str">
        <x:v>Seed total</x:v>
      </x:c>
    </x:row>
    <x:row r="6" ht="48" customHeight="1">
      <x:c r="A6" s="15" t="str">
        <x:v>EX01</x:v>
      </x:c>
      <x:c r="B6" s="15" t="str">
        <x:v>A</x:v>
      </x:c>
      <x:c r="C6" s="12" t="str">
        <x:v>https://aarontaycheehsien.github.io/Information-retrieval-crashcourse/search-textbook.html#fig-14-1</x:v>
      </x:c>
      <x:c r="D6" s="12" t="str">
        <x:v>Relevant</x:v>
      </x:c>
      <x:c r="E6" s="12" t="str">
        <x:v>Stipulated label in Figure 14.1</x:v>
      </x:c>
      <x:c r="F6" s="10" t="str">
        <x:v>Yes</x:v>
      </x:c>
      <x:c r="G6" s="10" t="n">
        <x:v>1</x:v>
      </x:c>
      <x:c r="H6" s="10" t="n">
        <x:v>1</x:v>
      </x:c>
      <x:c r="I6" s="11" t="str">
        <x:f>IF(COUNTA(A6:H6)=0,"",IF(A6="","Missing query ID",IF(COUNTIFS(QueryData[Query ID],"="&amp;SUBSTITUTE(SUBSTITUTE(SUBSTITUTE(A6,"~","~~"),"*","~*"),"?","~?"))=0,"Unknown query ID",IF(B6="","Missing record ID",IF(OR(OR(NOT(ISTEXT(A6)),TRIM(A6)&lt;&gt;A6),OR(NOT(ISTEXT(B6)),TRIM(B6)&lt;&gt;B6)),"IDs must be text without outer spaces",IF(COUNTIFS(RecordData[Query ID],"="&amp;SUBSTITUTE(SUBSTITUTE(SUBSTITUTE(A6,"~","~~"),"*","~*"),"?","~?"),RecordData[Record ID],"="&amp;SUBSTITUTE(SUBSTITUTE(SUBSTITUTE(B6,"~","~~"),"*","~*"),"?","~?"))&gt;1,"Duplicate record ID",IF(OR(IF(G6="",FALSE,IF(ISNUMBER(G6),OR(G6&lt;1,G6&lt;&gt;INT(G6)),TRUE)),IF(H6="",FALSE,IF(ISNUMBER(H6),OR(H6&lt;1,H6&lt;&gt;INT(H6)),TRUE))),"Invalid rank",IF(OR(IF(G6="",FALSE,COUNTIFS(RecordData[Query ID],"="&amp;SUBSTITUTE(SUBSTITUTE(SUBSTITUTE(A6,"~","~~"),"*","~*"),"?","~?"),RecordData[Rank A],G6)&gt;1),IF(H6="",FALSE,COUNTIFS(RecordData[Query ID],"="&amp;SUBSTITUTE(SUBSTITUTE(SUBSTITUTE(A6,"~","~~"),"*","~*"),"?","~?"),RecordData[Rank B],H6)&gt;1)),"Duplicate rank",IF(AND(F6&lt;&gt;"",F6&lt;&gt;"Yes",F6&lt;&gt;"No"),"Invalid seed flag",IF(AND(D6&lt;&gt;"",D6&lt;&gt;"Relevant",D6&lt;&gt;"Not relevant",D6&lt;&gt;"Unjudged"),"Invalid judgement",IF(AND(F6="Yes",D6="Not relevant"),"Seed marked not relevant",IF(AND(G6="",H6="",F6&lt;&gt;"Yes"),"Absent record must be a seed","OK"))))))))))))</x:f>
        <x:v>OK</x:v>
      </x:c>
      <x:c r="J6" s="11" t="n">
        <x:f>IF(AND(ISNUMBER(G6),G6&gt;=1,G6&lt;=Comparison!$B$4),1,0)</x:f>
        <x:v>1</x:v>
      </x:c>
      <x:c r="K6" s="11" t="n">
        <x:f>IF(AND(ISNUMBER(H6),H6&gt;=1,H6&lt;=Comparison!$B$4),1,0)</x:f>
        <x:v>1</x:v>
      </x:c>
      <x:c r="L6" s="11" t="n">
        <x:f>IF(AND(J6=1,D6="Relevant"),1,0)</x:f>
        <x:v>1</x:v>
      </x:c>
      <x:c r="M6" s="11" t="n">
        <x:f>IF(AND(K6=1,D6="Relevant"),1,0)</x:f>
        <x:v>1</x:v>
      </x:c>
      <x:c r="N6" s="11" t="n">
        <x:f>IF(AND(OR(J6=1,K6=1),D6&lt;&gt;"Relevant",D6&lt;&gt;"Not relevant"),1,0)</x:f>
        <x:v>0</x:v>
      </x:c>
      <x:c r="O6" s="11" t="n">
        <x:f>IF(AND(J6=1,F6="Yes"),1,0)</x:f>
        <x:v>1</x:v>
      </x:c>
      <x:c r="P6" s="11" t="n">
        <x:f>IF(AND(K6=1,F6="Yes"),1,0)</x:f>
        <x:v>1</x:v>
      </x:c>
      <x:c r="Q6" s="11" t="n">
        <x:f>IF(F6="Yes",1,0)</x:f>
        <x:v>1</x:v>
      </x:c>
    </x:row>
    <x:row r="7" ht="48" customHeight="1">
      <x:c r="A7" s="15" t="str">
        <x:v>EX01</x:v>
      </x:c>
      <x:c r="B7" s="15" t="str">
        <x:v>B</x:v>
      </x:c>
      <x:c r="C7" s="12" t="str">
        <x:v>https://aarontaycheehsien.github.io/Information-retrieval-crashcourse/search-textbook.html#fig-14-1</x:v>
      </x:c>
      <x:c r="D7" s="12" t="str">
        <x:v>Relevant</x:v>
      </x:c>
      <x:c r="E7" s="12" t="str">
        <x:v>Stipulated label in Figure 14.1</x:v>
      </x:c>
      <x:c r="F7" s="10" t="str">
        <x:v>No</x:v>
      </x:c>
      <x:c r="G7" s="10" t="n">
        <x:v>5</x:v>
      </x:c>
      <x:c r="H7" s="10" t="n">
        <x:v>2</x:v>
      </x:c>
      <x:c r="I7" s="11" t="str">
        <x:f>IF(COUNTA(A7:H7)=0,"",IF(A7="","Missing query ID",IF(COUNTIFS(QueryData[Query ID],"="&amp;SUBSTITUTE(SUBSTITUTE(SUBSTITUTE(A7,"~","~~"),"*","~*"),"?","~?"))=0,"Unknown query ID",IF(B7="","Missing record ID",IF(OR(OR(NOT(ISTEXT(A7)),TRIM(A7)&lt;&gt;A7),OR(NOT(ISTEXT(B7)),TRIM(B7)&lt;&gt;B7)),"IDs must be text without outer spaces",IF(COUNTIFS(RecordData[Query ID],"="&amp;SUBSTITUTE(SUBSTITUTE(SUBSTITUTE(A7,"~","~~"),"*","~*"),"?","~?"),RecordData[Record ID],"="&amp;SUBSTITUTE(SUBSTITUTE(SUBSTITUTE(B7,"~","~~"),"*","~*"),"?","~?"))&gt;1,"Duplicate record ID",IF(OR(IF(G7="",FALSE,IF(ISNUMBER(G7),OR(G7&lt;1,G7&lt;&gt;INT(G7)),TRUE)),IF(H7="",FALSE,IF(ISNUMBER(H7),OR(H7&lt;1,H7&lt;&gt;INT(H7)),TRUE))),"Invalid rank",IF(OR(IF(G7="",FALSE,COUNTIFS(RecordData[Query ID],"="&amp;SUBSTITUTE(SUBSTITUTE(SUBSTITUTE(A7,"~","~~"),"*","~*"),"?","~?"),RecordData[Rank A],G7)&gt;1),IF(H7="",FALSE,COUNTIFS(RecordData[Query ID],"="&amp;SUBSTITUTE(SUBSTITUTE(SUBSTITUTE(A7,"~","~~"),"*","~*"),"?","~?"),RecordData[Rank B],H7)&gt;1)),"Duplicate rank",IF(AND(F7&lt;&gt;"",F7&lt;&gt;"Yes",F7&lt;&gt;"No"),"Invalid seed flag",IF(AND(D7&lt;&gt;"",D7&lt;&gt;"Relevant",D7&lt;&gt;"Not relevant",D7&lt;&gt;"Unjudged"),"Invalid judgement",IF(AND(F7="Yes",D7="Not relevant"),"Seed marked not relevant",IF(AND(G7="",H7="",F7&lt;&gt;"Yes"),"Absent record must be a seed","OK"))))))))))))</x:f>
        <x:v>OK</x:v>
      </x:c>
      <x:c r="J7" s="11" t="n">
        <x:f>IF(AND(ISNUMBER(G7),G7&gt;=1,G7&lt;=Comparison!$B$4),1,0)</x:f>
        <x:v>1</x:v>
      </x:c>
      <x:c r="K7" s="11" t="n">
        <x:f>IF(AND(ISNUMBER(H7),H7&gt;=1,H7&lt;=Comparison!$B$4),1,0)</x:f>
        <x:v>1</x:v>
      </x:c>
      <x:c r="L7" s="11" t="n">
        <x:f>IF(AND(J7=1,D7="Relevant"),1,0)</x:f>
        <x:v>1</x:v>
      </x:c>
      <x:c r="M7" s="11" t="n">
        <x:f>IF(AND(K7=1,D7="Relevant"),1,0)</x:f>
        <x:v>1</x:v>
      </x:c>
      <x:c r="N7" s="11" t="n">
        <x:f>IF(AND(OR(J7=1,K7=1),D7&lt;&gt;"Relevant",D7&lt;&gt;"Not relevant"),1,0)</x:f>
        <x:v>0</x:v>
      </x:c>
      <x:c r="O7" s="11" t="n">
        <x:f>IF(AND(J7=1,F7="Yes"),1,0)</x:f>
        <x:v>0</x:v>
      </x:c>
      <x:c r="P7" s="11" t="n">
        <x:f>IF(AND(K7=1,F7="Yes"),1,0)</x:f>
        <x:v>0</x:v>
      </x:c>
      <x:c r="Q7" s="11" t="n">
        <x:f>IF(F7="Yes",1,0)</x:f>
        <x:v>0</x:v>
      </x:c>
    </x:row>
    <x:row r="8" ht="48" customHeight="1">
      <x:c r="A8" s="15" t="str">
        <x:v>EX01</x:v>
      </x:c>
      <x:c r="B8" s="15" t="str">
        <x:v>C</x:v>
      </x:c>
      <x:c r="C8" s="12" t="str">
        <x:v>https://aarontaycheehsien.github.io/Information-retrieval-crashcourse/search-textbook.html#fig-14-1</x:v>
      </x:c>
      <x:c r="D8" s="12" t="str">
        <x:v>Relevant</x:v>
      </x:c>
      <x:c r="E8" s="12" t="str">
        <x:v>Stipulated label in Figure 14.1</x:v>
      </x:c>
      <x:c r="F8" s="10" t="str">
        <x:v>Yes</x:v>
      </x:c>
      <x:c r="G8" s="10" t="n">
        <x:v>11</x:v>
      </x:c>
      <x:c r="H8" s="10" t="n">
        <x:v>4</x:v>
      </x:c>
      <x:c r="I8" s="11" t="str">
        <x:f>IF(COUNTA(A8:H8)=0,"",IF(A8="","Missing query ID",IF(COUNTIFS(QueryData[Query ID],"="&amp;SUBSTITUTE(SUBSTITUTE(SUBSTITUTE(A8,"~","~~"),"*","~*"),"?","~?"))=0,"Unknown query ID",IF(B8="","Missing record ID",IF(OR(OR(NOT(ISTEXT(A8)),TRIM(A8)&lt;&gt;A8),OR(NOT(ISTEXT(B8)),TRIM(B8)&lt;&gt;B8)),"IDs must be text without outer spaces",IF(COUNTIFS(RecordData[Query ID],"="&amp;SUBSTITUTE(SUBSTITUTE(SUBSTITUTE(A8,"~","~~"),"*","~*"),"?","~?"),RecordData[Record ID],"="&amp;SUBSTITUTE(SUBSTITUTE(SUBSTITUTE(B8,"~","~~"),"*","~*"),"?","~?"))&gt;1,"Duplicate record ID",IF(OR(IF(G8="",FALSE,IF(ISNUMBER(G8),OR(G8&lt;1,G8&lt;&gt;INT(G8)),TRUE)),IF(H8="",FALSE,IF(ISNUMBER(H8),OR(H8&lt;1,H8&lt;&gt;INT(H8)),TRUE))),"Invalid rank",IF(OR(IF(G8="",FALSE,COUNTIFS(RecordData[Query ID],"="&amp;SUBSTITUTE(SUBSTITUTE(SUBSTITUTE(A8,"~","~~"),"*","~*"),"?","~?"),RecordData[Rank A],G8)&gt;1),IF(H8="",FALSE,COUNTIFS(RecordData[Query ID],"="&amp;SUBSTITUTE(SUBSTITUTE(SUBSTITUTE(A8,"~","~~"),"*","~*"),"?","~?"),RecordData[Rank B],H8)&gt;1)),"Duplicate rank",IF(AND(F8&lt;&gt;"",F8&lt;&gt;"Yes",F8&lt;&gt;"No"),"Invalid seed flag",IF(AND(D8&lt;&gt;"",D8&lt;&gt;"Relevant",D8&lt;&gt;"Not relevant",D8&lt;&gt;"Unjudged"),"Invalid judgement",IF(AND(F8="Yes",D8="Not relevant"),"Seed marked not relevant",IF(AND(G8="",H8="",F8&lt;&gt;"Yes"),"Absent record must be a seed","OK"))))))))))))</x:f>
        <x:v>OK</x:v>
      </x:c>
      <x:c r="J8" s="11" t="n">
        <x:f>IF(AND(ISNUMBER(G8),G8&gt;=1,G8&lt;=Comparison!$B$4),1,0)</x:f>
        <x:v>0</x:v>
      </x:c>
      <x:c r="K8" s="11" t="n">
        <x:f>IF(AND(ISNUMBER(H8),H8&gt;=1,H8&lt;=Comparison!$B$4),1,0)</x:f>
        <x:v>1</x:v>
      </x:c>
      <x:c r="L8" s="11" t="n">
        <x:f>IF(AND(J8=1,D8="Relevant"),1,0)</x:f>
        <x:v>0</x:v>
      </x:c>
      <x:c r="M8" s="11" t="n">
        <x:f>IF(AND(K8=1,D8="Relevant"),1,0)</x:f>
        <x:v>1</x:v>
      </x:c>
      <x:c r="N8" s="11" t="n">
        <x:f>IF(AND(OR(J8=1,K8=1),D8&lt;&gt;"Relevant",D8&lt;&gt;"Not relevant"),1,0)</x:f>
        <x:v>0</x:v>
      </x:c>
      <x:c r="O8" s="11" t="n">
        <x:f>IF(AND(J8=1,F8="Yes"),1,0)</x:f>
        <x:v>0</x:v>
      </x:c>
      <x:c r="P8" s="11" t="n">
        <x:f>IF(AND(K8=1,F8="Yes"),1,0)</x:f>
        <x:v>1</x:v>
      </x:c>
      <x:c r="Q8" s="11" t="n">
        <x:f>IF(F8="Yes",1,0)</x:f>
        <x:v>1</x:v>
      </x:c>
    </x:row>
    <x:row r="9" ht="48" customHeight="1">
      <x:c r="A9" s="15" t="str">
        <x:v>EX01</x:v>
      </x:c>
      <x:c r="B9" s="15" t="str">
        <x:v>D</x:v>
      </x:c>
      <x:c r="C9" s="12" t="str">
        <x:v>https://aarontaycheehsien.github.io/Information-retrieval-crashcourse/search-textbook.html#fig-14-1</x:v>
      </x:c>
      <x:c r="D9" s="12" t="str">
        <x:v>Relevant</x:v>
      </x:c>
      <x:c r="E9" s="12" t="str">
        <x:v>Stipulated label in Figure 14.1</x:v>
      </x:c>
      <x:c r="F9" s="10" t="str">
        <x:v>No</x:v>
      </x:c>
      <x:c r="G9" s="10" t="n">
        <x:v>12</x:v>
      </x:c>
      <x:c r="H9" s="10" t="n">
        <x:v>5</x:v>
      </x:c>
      <x:c r="I9" s="11" t="str">
        <x:f>IF(COUNTA(A9:H9)=0,"",IF(A9="","Missing query ID",IF(COUNTIFS(QueryData[Query ID],"="&amp;SUBSTITUTE(SUBSTITUTE(SUBSTITUTE(A9,"~","~~"),"*","~*"),"?","~?"))=0,"Unknown query ID",IF(B9="","Missing record ID",IF(OR(OR(NOT(ISTEXT(A9)),TRIM(A9)&lt;&gt;A9),OR(NOT(ISTEXT(B9)),TRIM(B9)&lt;&gt;B9)),"IDs must be text without outer spaces",IF(COUNTIFS(RecordData[Query ID],"="&amp;SUBSTITUTE(SUBSTITUTE(SUBSTITUTE(A9,"~","~~"),"*","~*"),"?","~?"),RecordData[Record ID],"="&amp;SUBSTITUTE(SUBSTITUTE(SUBSTITUTE(B9,"~","~~"),"*","~*"),"?","~?"))&gt;1,"Duplicate record ID",IF(OR(IF(G9="",FALSE,IF(ISNUMBER(G9),OR(G9&lt;1,G9&lt;&gt;INT(G9)),TRUE)),IF(H9="",FALSE,IF(ISNUMBER(H9),OR(H9&lt;1,H9&lt;&gt;INT(H9)),TRUE))),"Invalid rank",IF(OR(IF(G9="",FALSE,COUNTIFS(RecordData[Query ID],"="&amp;SUBSTITUTE(SUBSTITUTE(SUBSTITUTE(A9,"~","~~"),"*","~*"),"?","~?"),RecordData[Rank A],G9)&gt;1),IF(H9="",FALSE,COUNTIFS(RecordData[Query ID],"="&amp;SUBSTITUTE(SUBSTITUTE(SUBSTITUTE(A9,"~","~~"),"*","~*"),"?","~?"),RecordData[Rank B],H9)&gt;1)),"Duplicate rank",IF(AND(F9&lt;&gt;"",F9&lt;&gt;"Yes",F9&lt;&gt;"No"),"Invalid seed flag",IF(AND(D9&lt;&gt;"",D9&lt;&gt;"Relevant",D9&lt;&gt;"Not relevant",D9&lt;&gt;"Unjudged"),"Invalid judgement",IF(AND(F9="Yes",D9="Not relevant"),"Seed marked not relevant",IF(AND(G9="",H9="",F9&lt;&gt;"Yes"),"Absent record must be a seed","OK"))))))))))))</x:f>
        <x:v>OK</x:v>
      </x:c>
      <x:c r="J9" s="11" t="n">
        <x:f>IF(AND(ISNUMBER(G9),G9&gt;=1,G9&lt;=Comparison!$B$4),1,0)</x:f>
        <x:v>0</x:v>
      </x:c>
      <x:c r="K9" s="11" t="n">
        <x:f>IF(AND(ISNUMBER(H9),H9&gt;=1,H9&lt;=Comparison!$B$4),1,0)</x:f>
        <x:v>1</x:v>
      </x:c>
      <x:c r="L9" s="11" t="n">
        <x:f>IF(AND(J9=1,D9="Relevant"),1,0)</x:f>
        <x:v>0</x:v>
      </x:c>
      <x:c r="M9" s="11" t="n">
        <x:f>IF(AND(K9=1,D9="Relevant"),1,0)</x:f>
        <x:v>1</x:v>
      </x:c>
      <x:c r="N9" s="11" t="n">
        <x:f>IF(AND(OR(J9=1,K9=1),D9&lt;&gt;"Relevant",D9&lt;&gt;"Not relevant"),1,0)</x:f>
        <x:v>0</x:v>
      </x:c>
      <x:c r="O9" s="11" t="n">
        <x:f>IF(AND(J9=1,F9="Yes"),1,0)</x:f>
        <x:v>0</x:v>
      </x:c>
      <x:c r="P9" s="11" t="n">
        <x:f>IF(AND(K9=1,F9="Yes"),1,0)</x:f>
        <x:v>0</x:v>
      </x:c>
      <x:c r="Q9" s="11" t="n">
        <x:f>IF(F9="Yes",1,0)</x:f>
        <x:v>0</x:v>
      </x:c>
    </x:row>
    <x:row r="10" ht="48" customHeight="1">
      <x:c r="A10" s="15" t="str">
        <x:v>EX01</x:v>
      </x:c>
      <x:c r="B10" s="15" t="str">
        <x:v>E</x:v>
      </x:c>
      <x:c r="C10" s="12" t="str">
        <x:v>https://aarontaycheehsien.github.io/Information-retrieval-crashcourse/search-textbook.html#fig-14-1</x:v>
      </x:c>
      <x:c r="D10" s="12" t="str">
        <x:v>Relevant</x:v>
      </x:c>
      <x:c r="E10" s="12" t="str">
        <x:v>Stipulated label in Figure 14.1</x:v>
      </x:c>
      <x:c r="F10" s="10" t="str">
        <x:v>Yes</x:v>
      </x:c>
      <x:c r="G10" s="10" t="n">
        <x:v>13</x:v>
      </x:c>
      <x:c r="H10" s="10" t="n">
        <x:v>7</x:v>
      </x:c>
      <x:c r="I10" s="11" t="str">
        <x:f>IF(COUNTA(A10:H10)=0,"",IF(A10="","Missing query ID",IF(COUNTIFS(QueryData[Query ID],"="&amp;SUBSTITUTE(SUBSTITUTE(SUBSTITUTE(A10,"~","~~"),"*","~*"),"?","~?"))=0,"Unknown query ID",IF(B10="","Missing record ID",IF(OR(OR(NOT(ISTEXT(A10)),TRIM(A10)&lt;&gt;A10),OR(NOT(ISTEXT(B10)),TRIM(B10)&lt;&gt;B10)),"IDs must be text without outer spaces",IF(COUNTIFS(RecordData[Query ID],"="&amp;SUBSTITUTE(SUBSTITUTE(SUBSTITUTE(A10,"~","~~"),"*","~*"),"?","~?"),RecordData[Record ID],"="&amp;SUBSTITUTE(SUBSTITUTE(SUBSTITUTE(B10,"~","~~"),"*","~*"),"?","~?"))&gt;1,"Duplicate record ID",IF(OR(IF(G10="",FALSE,IF(ISNUMBER(G10),OR(G10&lt;1,G10&lt;&gt;INT(G10)),TRUE)),IF(H10="",FALSE,IF(ISNUMBER(H10),OR(H10&lt;1,H10&lt;&gt;INT(H10)),TRUE))),"Invalid rank",IF(OR(IF(G10="",FALSE,COUNTIFS(RecordData[Query ID],"="&amp;SUBSTITUTE(SUBSTITUTE(SUBSTITUTE(A10,"~","~~"),"*","~*"),"?","~?"),RecordData[Rank A],G10)&gt;1),IF(H10="",FALSE,COUNTIFS(RecordData[Query ID],"="&amp;SUBSTITUTE(SUBSTITUTE(SUBSTITUTE(A10,"~","~~"),"*","~*"),"?","~?"),RecordData[Rank B],H10)&gt;1)),"Duplicate rank",IF(AND(F10&lt;&gt;"",F10&lt;&gt;"Yes",F10&lt;&gt;"No"),"Invalid seed flag",IF(AND(D10&lt;&gt;"",D10&lt;&gt;"Relevant",D10&lt;&gt;"Not relevant",D10&lt;&gt;"Unjudged"),"Invalid judgement",IF(AND(F10="Yes",D10="Not relevant"),"Seed marked not relevant",IF(AND(G10="",H10="",F10&lt;&gt;"Yes"),"Absent record must be a seed","OK"))))))))))))</x:f>
        <x:v>OK</x:v>
      </x:c>
      <x:c r="J10" s="11" t="n">
        <x:f>IF(AND(ISNUMBER(G10),G10&gt;=1,G10&lt;=Comparison!$B$4),1,0)</x:f>
        <x:v>0</x:v>
      </x:c>
      <x:c r="K10" s="11" t="n">
        <x:f>IF(AND(ISNUMBER(H10),H10&gt;=1,H10&lt;=Comparison!$B$4),1,0)</x:f>
        <x:v>1</x:v>
      </x:c>
      <x:c r="L10" s="11" t="n">
        <x:f>IF(AND(J10=1,D10="Relevant"),1,0)</x:f>
        <x:v>0</x:v>
      </x:c>
      <x:c r="M10" s="11" t="n">
        <x:f>IF(AND(K10=1,D10="Relevant"),1,0)</x:f>
        <x:v>1</x:v>
      </x:c>
      <x:c r="N10" s="11" t="n">
        <x:f>IF(AND(OR(J10=1,K10=1),D10&lt;&gt;"Relevant",D10&lt;&gt;"Not relevant"),1,0)</x:f>
        <x:v>0</x:v>
      </x:c>
      <x:c r="O10" s="11" t="n">
        <x:f>IF(AND(J10=1,F10="Yes"),1,0)</x:f>
        <x:v>0</x:v>
      </x:c>
      <x:c r="P10" s="11" t="n">
        <x:f>IF(AND(K10=1,F10="Yes"),1,0)</x:f>
        <x:v>1</x:v>
      </x:c>
      <x:c r="Q10" s="11" t="n">
        <x:f>IF(F10="Yes",1,0)</x:f>
        <x:v>1</x:v>
      </x:c>
    </x:row>
    <x:row r="11" ht="48" customHeight="1">
      <x:c r="A11" s="15" t="str">
        <x:v>EX01</x:v>
      </x:c>
      <x:c r="B11" s="15" t="str">
        <x:v>F</x:v>
      </x:c>
      <x:c r="C11" s="12" t="str">
        <x:v>https://aarontaycheehsien.github.io/Information-retrieval-crashcourse/search-textbook.html#fig-14-1</x:v>
      </x:c>
      <x:c r="D11" s="12" t="str">
        <x:v>Relevant</x:v>
      </x:c>
      <x:c r="E11" s="12" t="str">
        <x:v>Stipulated label in Figure 14.1</x:v>
      </x:c>
      <x:c r="F11" s="10" t="str">
        <x:v>No</x:v>
      </x:c>
      <x:c r="G11" s="10" t="n">
        <x:v>14</x:v>
      </x:c>
      <x:c r="H11" s="10" t="n">
        <x:v>9</x:v>
      </x:c>
      <x:c r="I11" s="11" t="str">
        <x:f>IF(COUNTA(A11:H11)=0,"",IF(A11="","Missing query ID",IF(COUNTIFS(QueryData[Query ID],"="&amp;SUBSTITUTE(SUBSTITUTE(SUBSTITUTE(A11,"~","~~"),"*","~*"),"?","~?"))=0,"Unknown query ID",IF(B11="","Missing record ID",IF(OR(OR(NOT(ISTEXT(A11)),TRIM(A11)&lt;&gt;A11),OR(NOT(ISTEXT(B11)),TRIM(B11)&lt;&gt;B11)),"IDs must be text without outer spaces",IF(COUNTIFS(RecordData[Query ID],"="&amp;SUBSTITUTE(SUBSTITUTE(SUBSTITUTE(A11,"~","~~"),"*","~*"),"?","~?"),RecordData[Record ID],"="&amp;SUBSTITUTE(SUBSTITUTE(SUBSTITUTE(B11,"~","~~"),"*","~*"),"?","~?"))&gt;1,"Duplicate record ID",IF(OR(IF(G11="",FALSE,IF(ISNUMBER(G11),OR(G11&lt;1,G11&lt;&gt;INT(G11)),TRUE)),IF(H11="",FALSE,IF(ISNUMBER(H11),OR(H11&lt;1,H11&lt;&gt;INT(H11)),TRUE))),"Invalid rank",IF(OR(IF(G11="",FALSE,COUNTIFS(RecordData[Query ID],"="&amp;SUBSTITUTE(SUBSTITUTE(SUBSTITUTE(A11,"~","~~"),"*","~*"),"?","~?"),RecordData[Rank A],G11)&gt;1),IF(H11="",FALSE,COUNTIFS(RecordData[Query ID],"="&amp;SUBSTITUTE(SUBSTITUTE(SUBSTITUTE(A11,"~","~~"),"*","~*"),"?","~?"),RecordData[Rank B],H11)&gt;1)),"Duplicate rank",IF(AND(F11&lt;&gt;"",F11&lt;&gt;"Yes",F11&lt;&gt;"No"),"Invalid seed flag",IF(AND(D11&lt;&gt;"",D11&lt;&gt;"Relevant",D11&lt;&gt;"Not relevant",D11&lt;&gt;"Unjudged"),"Invalid judgement",IF(AND(F11="Yes",D11="Not relevant"),"Seed marked not relevant",IF(AND(G11="",H11="",F11&lt;&gt;"Yes"),"Absent record must be a seed","OK"))))))))))))</x:f>
        <x:v>OK</x:v>
      </x:c>
      <x:c r="J11" s="11" t="n">
        <x:f>IF(AND(ISNUMBER(G11),G11&gt;=1,G11&lt;=Comparison!$B$4),1,0)</x:f>
        <x:v>0</x:v>
      </x:c>
      <x:c r="K11" s="11" t="n">
        <x:f>IF(AND(ISNUMBER(H11),H11&gt;=1,H11&lt;=Comparison!$B$4),1,0)</x:f>
        <x:v>1</x:v>
      </x:c>
      <x:c r="L11" s="11" t="n">
        <x:f>IF(AND(J11=1,D11="Relevant"),1,0)</x:f>
        <x:v>0</x:v>
      </x:c>
      <x:c r="M11" s="11" t="n">
        <x:f>IF(AND(K11=1,D11="Relevant"),1,0)</x:f>
        <x:v>1</x:v>
      </x:c>
      <x:c r="N11" s="11" t="n">
        <x:f>IF(AND(OR(J11=1,K11=1),D11&lt;&gt;"Relevant",D11&lt;&gt;"Not relevant"),1,0)</x:f>
        <x:v>0</x:v>
      </x:c>
      <x:c r="O11" s="11" t="n">
        <x:f>IF(AND(J11=1,F11="Yes"),1,0)</x:f>
        <x:v>0</x:v>
      </x:c>
      <x:c r="P11" s="11" t="n">
        <x:f>IF(AND(K11=1,F11="Yes"),1,0)</x:f>
        <x:v>0</x:v>
      </x:c>
      <x:c r="Q11" s="11" t="n">
        <x:f>IF(F11="Yes",1,0)</x:f>
        <x:v>0</x:v>
      </x:c>
    </x:row>
    <x:row r="12" ht="48" customHeight="1">
      <x:c r="A12" s="15" t="str">
        <x:v>EX01</x:v>
      </x:c>
      <x:c r="B12" s="15" t="str">
        <x:v>G</x:v>
      </x:c>
      <x:c r="C12" s="12" t="str">
        <x:v>https://aarontaycheehsien.github.io/Information-retrieval-crashcourse/search-textbook.html#fig-14-1</x:v>
      </x:c>
      <x:c r="D12" s="12" t="str">
        <x:v>Relevant</x:v>
      </x:c>
      <x:c r="E12" s="12" t="str">
        <x:v>Stipulated label in Figure 14.1</x:v>
      </x:c>
      <x:c r="F12" s="10" t="str">
        <x:v>Yes</x:v>
      </x:c>
      <x:c r="G12" s="10" t="n">
        <x:v>15</x:v>
      </x:c>
      <x:c r="H12" s="10" t="n">
        <x:v>11</x:v>
      </x:c>
      <x:c r="I12" s="11" t="str">
        <x:f>IF(COUNTA(A12:H12)=0,"",IF(A12="","Missing query ID",IF(COUNTIFS(QueryData[Query ID],"="&amp;SUBSTITUTE(SUBSTITUTE(SUBSTITUTE(A12,"~","~~"),"*","~*"),"?","~?"))=0,"Unknown query ID",IF(B12="","Missing record ID",IF(OR(OR(NOT(ISTEXT(A12)),TRIM(A12)&lt;&gt;A12),OR(NOT(ISTEXT(B12)),TRIM(B12)&lt;&gt;B12)),"IDs must be text without outer spaces",IF(COUNTIFS(RecordData[Query ID],"="&amp;SUBSTITUTE(SUBSTITUTE(SUBSTITUTE(A12,"~","~~"),"*","~*"),"?","~?"),RecordData[Record ID],"="&amp;SUBSTITUTE(SUBSTITUTE(SUBSTITUTE(B12,"~","~~"),"*","~*"),"?","~?"))&gt;1,"Duplicate record ID",IF(OR(IF(G12="",FALSE,IF(ISNUMBER(G12),OR(G12&lt;1,G12&lt;&gt;INT(G12)),TRUE)),IF(H12="",FALSE,IF(ISNUMBER(H12),OR(H12&lt;1,H12&lt;&gt;INT(H12)),TRUE))),"Invalid rank",IF(OR(IF(G12="",FALSE,COUNTIFS(RecordData[Query ID],"="&amp;SUBSTITUTE(SUBSTITUTE(SUBSTITUTE(A12,"~","~~"),"*","~*"),"?","~?"),RecordData[Rank A],G12)&gt;1),IF(H12="",FALSE,COUNTIFS(RecordData[Query ID],"="&amp;SUBSTITUTE(SUBSTITUTE(SUBSTITUTE(A12,"~","~~"),"*","~*"),"?","~?"),RecordData[Rank B],H12)&gt;1)),"Duplicate rank",IF(AND(F12&lt;&gt;"",F12&lt;&gt;"Yes",F12&lt;&gt;"No"),"Invalid seed flag",IF(AND(D12&lt;&gt;"",D12&lt;&gt;"Relevant",D12&lt;&gt;"Not relevant",D12&lt;&gt;"Unjudged"),"Invalid judgement",IF(AND(F12="Yes",D12="Not relevant"),"Seed marked not relevant",IF(AND(G12="",H12="",F12&lt;&gt;"Yes"),"Absent record must be a seed","OK"))))))))))))</x:f>
        <x:v>OK</x:v>
      </x:c>
      <x:c r="J12" s="11" t="n">
        <x:f>IF(AND(ISNUMBER(G12),G12&gt;=1,G12&lt;=Comparison!$B$4),1,0)</x:f>
        <x:v>0</x:v>
      </x:c>
      <x:c r="K12" s="11" t="n">
        <x:f>IF(AND(ISNUMBER(H12),H12&gt;=1,H12&lt;=Comparison!$B$4),1,0)</x:f>
        <x:v>0</x:v>
      </x:c>
      <x:c r="L12" s="11" t="n">
        <x:f>IF(AND(J12=1,D12="Relevant"),1,0)</x:f>
        <x:v>0</x:v>
      </x:c>
      <x:c r="M12" s="11" t="n">
        <x:f>IF(AND(K12=1,D12="Relevant"),1,0)</x:f>
        <x:v>0</x:v>
      </x:c>
      <x:c r="N12" s="11" t="n">
        <x:f>IF(AND(OR(J12=1,K12=1),D12&lt;&gt;"Relevant",D12&lt;&gt;"Not relevant"),1,0)</x:f>
        <x:v>0</x:v>
      </x:c>
      <x:c r="O12" s="11" t="n">
        <x:f>IF(AND(J12=1,F12="Yes"),1,0)</x:f>
        <x:v>0</x:v>
      </x:c>
      <x:c r="P12" s="11" t="n">
        <x:f>IF(AND(K12=1,F12="Yes"),1,0)</x:f>
        <x:v>0</x:v>
      </x:c>
      <x:c r="Q12" s="11" t="n">
        <x:f>IF(F12="Yes",1,0)</x:f>
        <x:v>1</x:v>
      </x:c>
    </x:row>
    <x:row r="13" ht="48" customHeight="1">
      <x:c r="A13" s="15" t="str">
        <x:v>EX01</x:v>
      </x:c>
      <x:c r="B13" s="15" t="str">
        <x:v>H</x:v>
      </x:c>
      <x:c r="C13" s="12" t="str">
        <x:v>https://aarontaycheehsien.github.io/Information-retrieval-crashcourse/search-textbook.html#fig-14-1</x:v>
      </x:c>
      <x:c r="D13" s="12" t="str">
        <x:v>Relevant</x:v>
      </x:c>
      <x:c r="E13" s="12" t="str">
        <x:v>Stipulated label in Figure 14.1</x:v>
      </x:c>
      <x:c r="F13" s="10" t="str">
        <x:v>No</x:v>
      </x:c>
      <x:c r="G13" s="10" t="n">
        <x:v>16</x:v>
      </x:c>
      <x:c r="H13" s="10" t="n">
        <x:v>12</x:v>
      </x:c>
      <x:c r="I13" s="11" t="str">
        <x:f>IF(COUNTA(A13:H13)=0,"",IF(A13="","Missing query ID",IF(COUNTIFS(QueryData[Query ID],"="&amp;SUBSTITUTE(SUBSTITUTE(SUBSTITUTE(A13,"~","~~"),"*","~*"),"?","~?"))=0,"Unknown query ID",IF(B13="","Missing record ID",IF(OR(OR(NOT(ISTEXT(A13)),TRIM(A13)&lt;&gt;A13),OR(NOT(ISTEXT(B13)),TRIM(B13)&lt;&gt;B13)),"IDs must be text without outer spaces",IF(COUNTIFS(RecordData[Query ID],"="&amp;SUBSTITUTE(SUBSTITUTE(SUBSTITUTE(A13,"~","~~"),"*","~*"),"?","~?"),RecordData[Record ID],"="&amp;SUBSTITUTE(SUBSTITUTE(SUBSTITUTE(B13,"~","~~"),"*","~*"),"?","~?"))&gt;1,"Duplicate record ID",IF(OR(IF(G13="",FALSE,IF(ISNUMBER(G13),OR(G13&lt;1,G13&lt;&gt;INT(G13)),TRUE)),IF(H13="",FALSE,IF(ISNUMBER(H13),OR(H13&lt;1,H13&lt;&gt;INT(H13)),TRUE))),"Invalid rank",IF(OR(IF(G13="",FALSE,COUNTIFS(RecordData[Query ID],"="&amp;SUBSTITUTE(SUBSTITUTE(SUBSTITUTE(A13,"~","~~"),"*","~*"),"?","~?"),RecordData[Rank A],G13)&gt;1),IF(H13="",FALSE,COUNTIFS(RecordData[Query ID],"="&amp;SUBSTITUTE(SUBSTITUTE(SUBSTITUTE(A13,"~","~~"),"*","~*"),"?","~?"),RecordData[Rank B],H13)&gt;1)),"Duplicate rank",IF(AND(F13&lt;&gt;"",F13&lt;&gt;"Yes",F13&lt;&gt;"No"),"Invalid seed flag",IF(AND(D13&lt;&gt;"",D13&lt;&gt;"Relevant",D13&lt;&gt;"Not relevant",D13&lt;&gt;"Unjudged"),"Invalid judgement",IF(AND(F13="Yes",D13="Not relevant"),"Seed marked not relevant",IF(AND(G13="",H13="",F13&lt;&gt;"Yes"),"Absent record must be a seed","OK"))))))))))))</x:f>
        <x:v>OK</x:v>
      </x:c>
      <x:c r="J13" s="11" t="n">
        <x:f>IF(AND(ISNUMBER(G13),G13&gt;=1,G13&lt;=Comparison!$B$4),1,0)</x:f>
        <x:v>0</x:v>
      </x:c>
      <x:c r="K13" s="11" t="n">
        <x:f>IF(AND(ISNUMBER(H13),H13&gt;=1,H13&lt;=Comparison!$B$4),1,0)</x:f>
        <x:v>0</x:v>
      </x:c>
      <x:c r="L13" s="11" t="n">
        <x:f>IF(AND(J13=1,D13="Relevant"),1,0)</x:f>
        <x:v>0</x:v>
      </x:c>
      <x:c r="M13" s="11" t="n">
        <x:f>IF(AND(K13=1,D13="Relevant"),1,0)</x:f>
        <x:v>0</x:v>
      </x:c>
      <x:c r="N13" s="11" t="n">
        <x:f>IF(AND(OR(J13=1,K13=1),D13&lt;&gt;"Relevant",D13&lt;&gt;"Not relevant"),1,0)</x:f>
        <x:v>0</x:v>
      </x:c>
      <x:c r="O13" s="11" t="n">
        <x:f>IF(AND(J13=1,F13="Yes"),1,0)</x:f>
        <x:v>0</x:v>
      </x:c>
      <x:c r="P13" s="11" t="n">
        <x:f>IF(AND(K13=1,F13="Yes"),1,0)</x:f>
        <x:v>0</x:v>
      </x:c>
      <x:c r="Q13" s="11" t="n">
        <x:f>IF(F13="Yes",1,0)</x:f>
        <x:v>0</x:v>
      </x:c>
    </x:row>
    <x:row r="14" ht="48" customHeight="1">
      <x:c r="A14" s="15" t="str">
        <x:v>EX01</x:v>
      </x:c>
      <x:c r="B14" s="15" t="str">
        <x:v>I</x:v>
      </x:c>
      <x:c r="C14" s="12" t="str">
        <x:v>https://aarontaycheehsien.github.io/Information-retrieval-crashcourse/search-textbook.html#fig-14-1</x:v>
      </x:c>
      <x:c r="D14" s="12" t="str">
        <x:v>Relevant</x:v>
      </x:c>
      <x:c r="E14" s="12" t="str">
        <x:v>Stipulated label in Figure 14.1</x:v>
      </x:c>
      <x:c r="F14" s="10" t="str">
        <x:v>No</x:v>
      </x:c>
      <x:c r="G14" s="10" t="n">
        <x:v>17</x:v>
      </x:c>
      <x:c r="H14" s="10" t="n">
        <x:v>13</x:v>
      </x:c>
      <x:c r="I14" s="11" t="str">
        <x:f>IF(COUNTA(A14:H14)=0,"",IF(A14="","Missing query ID",IF(COUNTIFS(QueryData[Query ID],"="&amp;SUBSTITUTE(SUBSTITUTE(SUBSTITUTE(A14,"~","~~"),"*","~*"),"?","~?"))=0,"Unknown query ID",IF(B14="","Missing record ID",IF(OR(OR(NOT(ISTEXT(A14)),TRIM(A14)&lt;&gt;A14),OR(NOT(ISTEXT(B14)),TRIM(B14)&lt;&gt;B14)),"IDs must be text without outer spaces",IF(COUNTIFS(RecordData[Query ID],"="&amp;SUBSTITUTE(SUBSTITUTE(SUBSTITUTE(A14,"~","~~"),"*","~*"),"?","~?"),RecordData[Record ID],"="&amp;SUBSTITUTE(SUBSTITUTE(SUBSTITUTE(B14,"~","~~"),"*","~*"),"?","~?"))&gt;1,"Duplicate record ID",IF(OR(IF(G14="",FALSE,IF(ISNUMBER(G14),OR(G14&lt;1,G14&lt;&gt;INT(G14)),TRUE)),IF(H14="",FALSE,IF(ISNUMBER(H14),OR(H14&lt;1,H14&lt;&gt;INT(H14)),TRUE))),"Invalid rank",IF(OR(IF(G14="",FALSE,COUNTIFS(RecordData[Query ID],"="&amp;SUBSTITUTE(SUBSTITUTE(SUBSTITUTE(A14,"~","~~"),"*","~*"),"?","~?"),RecordData[Rank A],G14)&gt;1),IF(H14="",FALSE,COUNTIFS(RecordData[Query ID],"="&amp;SUBSTITUTE(SUBSTITUTE(SUBSTITUTE(A14,"~","~~"),"*","~*"),"?","~?"),RecordData[Rank B],H14)&gt;1)),"Duplicate rank",IF(AND(F14&lt;&gt;"",F14&lt;&gt;"Yes",F14&lt;&gt;"No"),"Invalid seed flag",IF(AND(D14&lt;&gt;"",D14&lt;&gt;"Relevant",D14&lt;&gt;"Not relevant",D14&lt;&gt;"Unjudged"),"Invalid judgement",IF(AND(F14="Yes",D14="Not relevant"),"Seed marked not relevant",IF(AND(G14="",H14="",F14&lt;&gt;"Yes"),"Absent record must be a seed","OK"))))))))))))</x:f>
        <x:v>OK</x:v>
      </x:c>
      <x:c r="J14" s="11" t="n">
        <x:f>IF(AND(ISNUMBER(G14),G14&gt;=1,G14&lt;=Comparison!$B$4),1,0)</x:f>
        <x:v>0</x:v>
      </x:c>
      <x:c r="K14" s="11" t="n">
        <x:f>IF(AND(ISNUMBER(H14),H14&gt;=1,H14&lt;=Comparison!$B$4),1,0)</x:f>
        <x:v>0</x:v>
      </x:c>
      <x:c r="L14" s="11" t="n">
        <x:f>IF(AND(J14=1,D14="Relevant"),1,0)</x:f>
        <x:v>0</x:v>
      </x:c>
      <x:c r="M14" s="11" t="n">
        <x:f>IF(AND(K14=1,D14="Relevant"),1,0)</x:f>
        <x:v>0</x:v>
      </x:c>
      <x:c r="N14" s="11" t="n">
        <x:f>IF(AND(OR(J14=1,K14=1),D14&lt;&gt;"Relevant",D14&lt;&gt;"Not relevant"),1,0)</x:f>
        <x:v>0</x:v>
      </x:c>
      <x:c r="O14" s="11" t="n">
        <x:f>IF(AND(J14=1,F14="Yes"),1,0)</x:f>
        <x:v>0</x:v>
      </x:c>
      <x:c r="P14" s="11" t="n">
        <x:f>IF(AND(K14=1,F14="Yes"),1,0)</x:f>
        <x:v>0</x:v>
      </x:c>
      <x:c r="Q14" s="11" t="n">
        <x:f>IF(F14="Yes",1,0)</x:f>
        <x:v>0</x:v>
      </x:c>
    </x:row>
    <x:row r="15" ht="48" customHeight="1">
      <x:c r="A15" s="15" t="str">
        <x:v>EX01</x:v>
      </x:c>
      <x:c r="B15" s="15" t="str">
        <x:v>J</x:v>
      </x:c>
      <x:c r="C15" s="12" t="str">
        <x:v>https://aarontaycheehsien.github.io/Information-retrieval-crashcourse/search-textbook.html#fig-14-1</x:v>
      </x:c>
      <x:c r="D15" s="12" t="str">
        <x:v>Relevant</x:v>
      </x:c>
      <x:c r="E15" s="12" t="str">
        <x:v>Stipulated label in Figure 14.1</x:v>
      </x:c>
      <x:c r="F15" s="10" t="str">
        <x:v>Yes</x:v>
      </x:c>
      <x:c r="G15" s="10" t="n">
        <x:v>18</x:v>
      </x:c>
      <x:c r="H15" s="10" t="n">
        <x:v>14</x:v>
      </x:c>
      <x:c r="I15" s="11" t="str">
        <x:f>IF(COUNTA(A15:H15)=0,"",IF(A15="","Missing query ID",IF(COUNTIFS(QueryData[Query ID],"="&amp;SUBSTITUTE(SUBSTITUTE(SUBSTITUTE(A15,"~","~~"),"*","~*"),"?","~?"))=0,"Unknown query ID",IF(B15="","Missing record ID",IF(OR(OR(NOT(ISTEXT(A15)),TRIM(A15)&lt;&gt;A15),OR(NOT(ISTEXT(B15)),TRIM(B15)&lt;&gt;B15)),"IDs must be text without outer spaces",IF(COUNTIFS(RecordData[Query ID],"="&amp;SUBSTITUTE(SUBSTITUTE(SUBSTITUTE(A15,"~","~~"),"*","~*"),"?","~?"),RecordData[Record ID],"="&amp;SUBSTITUTE(SUBSTITUTE(SUBSTITUTE(B15,"~","~~"),"*","~*"),"?","~?"))&gt;1,"Duplicate record ID",IF(OR(IF(G15="",FALSE,IF(ISNUMBER(G15),OR(G15&lt;1,G15&lt;&gt;INT(G15)),TRUE)),IF(H15="",FALSE,IF(ISNUMBER(H15),OR(H15&lt;1,H15&lt;&gt;INT(H15)),TRUE))),"Invalid rank",IF(OR(IF(G15="",FALSE,COUNTIFS(RecordData[Query ID],"="&amp;SUBSTITUTE(SUBSTITUTE(SUBSTITUTE(A15,"~","~~"),"*","~*"),"?","~?"),RecordData[Rank A],G15)&gt;1),IF(H15="",FALSE,COUNTIFS(RecordData[Query ID],"="&amp;SUBSTITUTE(SUBSTITUTE(SUBSTITUTE(A15,"~","~~"),"*","~*"),"?","~?"),RecordData[Rank B],H15)&gt;1)),"Duplicate rank",IF(AND(F15&lt;&gt;"",F15&lt;&gt;"Yes",F15&lt;&gt;"No"),"Invalid seed flag",IF(AND(D15&lt;&gt;"",D15&lt;&gt;"Relevant",D15&lt;&gt;"Not relevant",D15&lt;&gt;"Unjudged"),"Invalid judgement",IF(AND(F15="Yes",D15="Not relevant"),"Seed marked not relevant",IF(AND(G15="",H15="",F15&lt;&gt;"Yes"),"Absent record must be a seed","OK"))))))))))))</x:f>
        <x:v>OK</x:v>
      </x:c>
      <x:c r="J15" s="11" t="n">
        <x:f>IF(AND(ISNUMBER(G15),G15&gt;=1,G15&lt;=Comparison!$B$4),1,0)</x:f>
        <x:v>0</x:v>
      </x:c>
      <x:c r="K15" s="11" t="n">
        <x:f>IF(AND(ISNUMBER(H15),H15&gt;=1,H15&lt;=Comparison!$B$4),1,0)</x:f>
        <x:v>0</x:v>
      </x:c>
      <x:c r="L15" s="11" t="n">
        <x:f>IF(AND(J15=1,D15="Relevant"),1,0)</x:f>
        <x:v>0</x:v>
      </x:c>
      <x:c r="M15" s="11" t="n">
        <x:f>IF(AND(K15=1,D15="Relevant"),1,0)</x:f>
        <x:v>0</x:v>
      </x:c>
      <x:c r="N15" s="11" t="n">
        <x:f>IF(AND(OR(J15=1,K15=1),D15&lt;&gt;"Relevant",D15&lt;&gt;"Not relevant"),1,0)</x:f>
        <x:v>0</x:v>
      </x:c>
      <x:c r="O15" s="11" t="n">
        <x:f>IF(AND(J15=1,F15="Yes"),1,0)</x:f>
        <x:v>0</x:v>
      </x:c>
      <x:c r="P15" s="11" t="n">
        <x:f>IF(AND(K15=1,F15="Yes"),1,0)</x:f>
        <x:v>0</x:v>
      </x:c>
      <x:c r="Q15" s="11" t="n">
        <x:f>IF(F15="Yes",1,0)</x:f>
        <x:v>1</x:v>
      </x:c>
    </x:row>
    <x:row r="16" ht="48" customHeight="1">
      <x:c r="A16" s="15" t="str">
        <x:v>EX01</x:v>
      </x:c>
      <x:c r="B16" s="15" t="str">
        <x:v>K</x:v>
      </x:c>
      <x:c r="C16" s="12" t="str">
        <x:v>https://aarontaycheehsien.github.io/Information-retrieval-crashcourse/search-textbook.html#fig-14-1</x:v>
      </x:c>
      <x:c r="D16" s="12" t="str">
        <x:v>Not relevant</x:v>
      </x:c>
      <x:c r="E16" s="12" t="str">
        <x:v>Stipulated label in Figure 14.1</x:v>
      </x:c>
      <x:c r="F16" s="10" t="str">
        <x:v>No</x:v>
      </x:c>
      <x:c r="G16" s="10" t="n">
        <x:v>2</x:v>
      </x:c>
      <x:c r="H16" s="10" t="n">
        <x:v>3</x:v>
      </x:c>
      <x:c r="I16" s="11" t="str">
        <x:f>IF(COUNTA(A16:H16)=0,"",IF(A16="","Missing query ID",IF(COUNTIFS(QueryData[Query ID],"="&amp;SUBSTITUTE(SUBSTITUTE(SUBSTITUTE(A16,"~","~~"),"*","~*"),"?","~?"))=0,"Unknown query ID",IF(B16="","Missing record ID",IF(OR(OR(NOT(ISTEXT(A16)),TRIM(A16)&lt;&gt;A16),OR(NOT(ISTEXT(B16)),TRIM(B16)&lt;&gt;B16)),"IDs must be text without outer spaces",IF(COUNTIFS(RecordData[Query ID],"="&amp;SUBSTITUTE(SUBSTITUTE(SUBSTITUTE(A16,"~","~~"),"*","~*"),"?","~?"),RecordData[Record ID],"="&amp;SUBSTITUTE(SUBSTITUTE(SUBSTITUTE(B16,"~","~~"),"*","~*"),"?","~?"))&gt;1,"Duplicate record ID",IF(OR(IF(G16="",FALSE,IF(ISNUMBER(G16),OR(G16&lt;1,G16&lt;&gt;INT(G16)),TRUE)),IF(H16="",FALSE,IF(ISNUMBER(H16),OR(H16&lt;1,H16&lt;&gt;INT(H16)),TRUE))),"Invalid rank",IF(OR(IF(G16="",FALSE,COUNTIFS(RecordData[Query ID],"="&amp;SUBSTITUTE(SUBSTITUTE(SUBSTITUTE(A16,"~","~~"),"*","~*"),"?","~?"),RecordData[Rank A],G16)&gt;1),IF(H16="",FALSE,COUNTIFS(RecordData[Query ID],"="&amp;SUBSTITUTE(SUBSTITUTE(SUBSTITUTE(A16,"~","~~"),"*","~*"),"?","~?"),RecordData[Rank B],H16)&gt;1)),"Duplicate rank",IF(AND(F16&lt;&gt;"",F16&lt;&gt;"Yes",F16&lt;&gt;"No"),"Invalid seed flag",IF(AND(D16&lt;&gt;"",D16&lt;&gt;"Relevant",D16&lt;&gt;"Not relevant",D16&lt;&gt;"Unjudged"),"Invalid judgement",IF(AND(F16="Yes",D16="Not relevant"),"Seed marked not relevant",IF(AND(G16="",H16="",F16&lt;&gt;"Yes"),"Absent record must be a seed","OK"))))))))))))</x:f>
        <x:v>OK</x:v>
      </x:c>
      <x:c r="J16" s="11" t="n">
        <x:f>IF(AND(ISNUMBER(G16),G16&gt;=1,G16&lt;=Comparison!$B$4),1,0)</x:f>
        <x:v>1</x:v>
      </x:c>
      <x:c r="K16" s="11" t="n">
        <x:f>IF(AND(ISNUMBER(H16),H16&gt;=1,H16&lt;=Comparison!$B$4),1,0)</x:f>
        <x:v>1</x:v>
      </x:c>
      <x:c r="L16" s="11" t="n">
        <x:f>IF(AND(J16=1,D16="Relevant"),1,0)</x:f>
        <x:v>0</x:v>
      </x:c>
      <x:c r="M16" s="11" t="n">
        <x:f>IF(AND(K16=1,D16="Relevant"),1,0)</x:f>
        <x:v>0</x:v>
      </x:c>
      <x:c r="N16" s="11" t="n">
        <x:f>IF(AND(OR(J16=1,K16=1),D16&lt;&gt;"Relevant",D16&lt;&gt;"Not relevant"),1,0)</x:f>
        <x:v>0</x:v>
      </x:c>
      <x:c r="O16" s="11" t="n">
        <x:f>IF(AND(J16=1,F16="Yes"),1,0)</x:f>
        <x:v>0</x:v>
      </x:c>
      <x:c r="P16" s="11" t="n">
        <x:f>IF(AND(K16=1,F16="Yes"),1,0)</x:f>
        <x:v>0</x:v>
      </x:c>
      <x:c r="Q16" s="11" t="n">
        <x:f>IF(F16="Yes",1,0)</x:f>
        <x:v>0</x:v>
      </x:c>
    </x:row>
    <x:row r="17" ht="48" customHeight="1">
      <x:c r="A17" s="15" t="str">
        <x:v>EX01</x:v>
      </x:c>
      <x:c r="B17" s="15" t="str">
        <x:v>L</x:v>
      </x:c>
      <x:c r="C17" s="12" t="str">
        <x:v>https://aarontaycheehsien.github.io/Information-retrieval-crashcourse/search-textbook.html#fig-14-1</x:v>
      </x:c>
      <x:c r="D17" s="12" t="str">
        <x:v>Not relevant</x:v>
      </x:c>
      <x:c r="E17" s="12" t="str">
        <x:v>Stipulated label in Figure 14.1</x:v>
      </x:c>
      <x:c r="F17" s="10" t="str">
        <x:v>No</x:v>
      </x:c>
      <x:c r="G17" s="10" t="n">
        <x:v>3</x:v>
      </x:c>
      <x:c r="H17" s="10" t="n">
        <x:v>6</x:v>
      </x:c>
      <x:c r="I17" s="11" t="str">
        <x:f>IF(COUNTA(A17:H17)=0,"",IF(A17="","Missing query ID",IF(COUNTIFS(QueryData[Query ID],"="&amp;SUBSTITUTE(SUBSTITUTE(SUBSTITUTE(A17,"~","~~"),"*","~*"),"?","~?"))=0,"Unknown query ID",IF(B17="","Missing record ID",IF(OR(OR(NOT(ISTEXT(A17)),TRIM(A17)&lt;&gt;A17),OR(NOT(ISTEXT(B17)),TRIM(B17)&lt;&gt;B17)),"IDs must be text without outer spaces",IF(COUNTIFS(RecordData[Query ID],"="&amp;SUBSTITUTE(SUBSTITUTE(SUBSTITUTE(A17,"~","~~"),"*","~*"),"?","~?"),RecordData[Record ID],"="&amp;SUBSTITUTE(SUBSTITUTE(SUBSTITUTE(B17,"~","~~"),"*","~*"),"?","~?"))&gt;1,"Duplicate record ID",IF(OR(IF(G17="",FALSE,IF(ISNUMBER(G17),OR(G17&lt;1,G17&lt;&gt;INT(G17)),TRUE)),IF(H17="",FALSE,IF(ISNUMBER(H17),OR(H17&lt;1,H17&lt;&gt;INT(H17)),TRUE))),"Invalid rank",IF(OR(IF(G17="",FALSE,COUNTIFS(RecordData[Query ID],"="&amp;SUBSTITUTE(SUBSTITUTE(SUBSTITUTE(A17,"~","~~"),"*","~*"),"?","~?"),RecordData[Rank A],G17)&gt;1),IF(H17="",FALSE,COUNTIFS(RecordData[Query ID],"="&amp;SUBSTITUTE(SUBSTITUTE(SUBSTITUTE(A17,"~","~~"),"*","~*"),"?","~?"),RecordData[Rank B],H17)&gt;1)),"Duplicate rank",IF(AND(F17&lt;&gt;"",F17&lt;&gt;"Yes",F17&lt;&gt;"No"),"Invalid seed flag",IF(AND(D17&lt;&gt;"",D17&lt;&gt;"Relevant",D17&lt;&gt;"Not relevant",D17&lt;&gt;"Unjudged"),"Invalid judgement",IF(AND(F17="Yes",D17="Not relevant"),"Seed marked not relevant",IF(AND(G17="",H17="",F17&lt;&gt;"Yes"),"Absent record must be a seed","OK"))))))))))))</x:f>
        <x:v>OK</x:v>
      </x:c>
      <x:c r="J17" s="11" t="n">
        <x:f>IF(AND(ISNUMBER(G17),G17&gt;=1,G17&lt;=Comparison!$B$4),1,0)</x:f>
        <x:v>1</x:v>
      </x:c>
      <x:c r="K17" s="11" t="n">
        <x:f>IF(AND(ISNUMBER(H17),H17&gt;=1,H17&lt;=Comparison!$B$4),1,0)</x:f>
        <x:v>1</x:v>
      </x:c>
      <x:c r="L17" s="11" t="n">
        <x:f>IF(AND(J17=1,D17="Relevant"),1,0)</x:f>
        <x:v>0</x:v>
      </x:c>
      <x:c r="M17" s="11" t="n">
        <x:f>IF(AND(K17=1,D17="Relevant"),1,0)</x:f>
        <x:v>0</x:v>
      </x:c>
      <x:c r="N17" s="11" t="n">
        <x:f>IF(AND(OR(J17=1,K17=1),D17&lt;&gt;"Relevant",D17&lt;&gt;"Not relevant"),1,0)</x:f>
        <x:v>0</x:v>
      </x:c>
      <x:c r="O17" s="11" t="n">
        <x:f>IF(AND(J17=1,F17="Yes"),1,0)</x:f>
        <x:v>0</x:v>
      </x:c>
      <x:c r="P17" s="11" t="n">
        <x:f>IF(AND(K17=1,F17="Yes"),1,0)</x:f>
        <x:v>0</x:v>
      </x:c>
      <x:c r="Q17" s="11" t="n">
        <x:f>IF(F17="Yes",1,0)</x:f>
        <x:v>0</x:v>
      </x:c>
    </x:row>
    <x:row r="18" ht="48" customHeight="1">
      <x:c r="A18" s="15" t="str">
        <x:v>EX01</x:v>
      </x:c>
      <x:c r="B18" s="15" t="str">
        <x:v>M</x:v>
      </x:c>
      <x:c r="C18" s="12" t="str">
        <x:v>https://aarontaycheehsien.github.io/Information-retrieval-crashcourse/search-textbook.html#fig-14-1</x:v>
      </x:c>
      <x:c r="D18" s="12" t="str">
        <x:v>Not relevant</x:v>
      </x:c>
      <x:c r="E18" s="12" t="str">
        <x:v>Stipulated label in Figure 14.1</x:v>
      </x:c>
      <x:c r="F18" s="10" t="str">
        <x:v>No</x:v>
      </x:c>
      <x:c r="G18" s="10" t="n">
        <x:v>4</x:v>
      </x:c>
      <x:c r="H18" s="10" t="n">
        <x:v>8</x:v>
      </x:c>
      <x:c r="I18" s="11" t="str">
        <x:f>IF(COUNTA(A18:H18)=0,"",IF(A18="","Missing query ID",IF(COUNTIFS(QueryData[Query ID],"="&amp;SUBSTITUTE(SUBSTITUTE(SUBSTITUTE(A18,"~","~~"),"*","~*"),"?","~?"))=0,"Unknown query ID",IF(B18="","Missing record ID",IF(OR(OR(NOT(ISTEXT(A18)),TRIM(A18)&lt;&gt;A18),OR(NOT(ISTEXT(B18)),TRIM(B18)&lt;&gt;B18)),"IDs must be text without outer spaces",IF(COUNTIFS(RecordData[Query ID],"="&amp;SUBSTITUTE(SUBSTITUTE(SUBSTITUTE(A18,"~","~~"),"*","~*"),"?","~?"),RecordData[Record ID],"="&amp;SUBSTITUTE(SUBSTITUTE(SUBSTITUTE(B18,"~","~~"),"*","~*"),"?","~?"))&gt;1,"Duplicate record ID",IF(OR(IF(G18="",FALSE,IF(ISNUMBER(G18),OR(G18&lt;1,G18&lt;&gt;INT(G18)),TRUE)),IF(H18="",FALSE,IF(ISNUMBER(H18),OR(H18&lt;1,H18&lt;&gt;INT(H18)),TRUE))),"Invalid rank",IF(OR(IF(G18="",FALSE,COUNTIFS(RecordData[Query ID],"="&amp;SUBSTITUTE(SUBSTITUTE(SUBSTITUTE(A18,"~","~~"),"*","~*"),"?","~?"),RecordData[Rank A],G18)&gt;1),IF(H18="",FALSE,COUNTIFS(RecordData[Query ID],"="&amp;SUBSTITUTE(SUBSTITUTE(SUBSTITUTE(A18,"~","~~"),"*","~*"),"?","~?"),RecordData[Rank B],H18)&gt;1)),"Duplicate rank",IF(AND(F18&lt;&gt;"",F18&lt;&gt;"Yes",F18&lt;&gt;"No"),"Invalid seed flag",IF(AND(D18&lt;&gt;"",D18&lt;&gt;"Relevant",D18&lt;&gt;"Not relevant",D18&lt;&gt;"Unjudged"),"Invalid judgement",IF(AND(F18="Yes",D18="Not relevant"),"Seed marked not relevant",IF(AND(G18="",H18="",F18&lt;&gt;"Yes"),"Absent record must be a seed","OK"))))))))))))</x:f>
        <x:v>OK</x:v>
      </x:c>
      <x:c r="J18" s="11" t="n">
        <x:f>IF(AND(ISNUMBER(G18),G18&gt;=1,G18&lt;=Comparison!$B$4),1,0)</x:f>
        <x:v>1</x:v>
      </x:c>
      <x:c r="K18" s="11" t="n">
        <x:f>IF(AND(ISNUMBER(H18),H18&gt;=1,H18&lt;=Comparison!$B$4),1,0)</x:f>
        <x:v>1</x:v>
      </x:c>
      <x:c r="L18" s="11" t="n">
        <x:f>IF(AND(J18=1,D18="Relevant"),1,0)</x:f>
        <x:v>0</x:v>
      </x:c>
      <x:c r="M18" s="11" t="n">
        <x:f>IF(AND(K18=1,D18="Relevant"),1,0)</x:f>
        <x:v>0</x:v>
      </x:c>
      <x:c r="N18" s="11" t="n">
        <x:f>IF(AND(OR(J18=1,K18=1),D18&lt;&gt;"Relevant",D18&lt;&gt;"Not relevant"),1,0)</x:f>
        <x:v>0</x:v>
      </x:c>
      <x:c r="O18" s="11" t="n">
        <x:f>IF(AND(J18=1,F18="Yes"),1,0)</x:f>
        <x:v>0</x:v>
      </x:c>
      <x:c r="P18" s="11" t="n">
        <x:f>IF(AND(K18=1,F18="Yes"),1,0)</x:f>
        <x:v>0</x:v>
      </x:c>
      <x:c r="Q18" s="11" t="n">
        <x:f>IF(F18="Yes",1,0)</x:f>
        <x:v>0</x:v>
      </x:c>
    </x:row>
    <x:row r="19" ht="48" customHeight="1">
      <x:c r="A19" s="15" t="str">
        <x:v>EX01</x:v>
      </x:c>
      <x:c r="B19" s="15" t="str">
        <x:v>N</x:v>
      </x:c>
      <x:c r="C19" s="12" t="str">
        <x:v>https://aarontaycheehsien.github.io/Information-retrieval-crashcourse/search-textbook.html#fig-14-1</x:v>
      </x:c>
      <x:c r="D19" s="12" t="str">
        <x:v>Not relevant</x:v>
      </x:c>
      <x:c r="E19" s="12" t="str">
        <x:v>Stipulated label in Figure 14.1</x:v>
      </x:c>
      <x:c r="F19" s="10" t="str">
        <x:v>No</x:v>
      </x:c>
      <x:c r="G19" s="10" t="n">
        <x:v>6</x:v>
      </x:c>
      <x:c r="H19" s="10" t="n">
        <x:v>10</x:v>
      </x:c>
      <x:c r="I19" s="11" t="str">
        <x:f>IF(COUNTA(A19:H19)=0,"",IF(A19="","Missing query ID",IF(COUNTIFS(QueryData[Query ID],"="&amp;SUBSTITUTE(SUBSTITUTE(SUBSTITUTE(A19,"~","~~"),"*","~*"),"?","~?"))=0,"Unknown query ID",IF(B19="","Missing record ID",IF(OR(OR(NOT(ISTEXT(A19)),TRIM(A19)&lt;&gt;A19),OR(NOT(ISTEXT(B19)),TRIM(B19)&lt;&gt;B19)),"IDs must be text without outer spaces",IF(COUNTIFS(RecordData[Query ID],"="&amp;SUBSTITUTE(SUBSTITUTE(SUBSTITUTE(A19,"~","~~"),"*","~*"),"?","~?"),RecordData[Record ID],"="&amp;SUBSTITUTE(SUBSTITUTE(SUBSTITUTE(B19,"~","~~"),"*","~*"),"?","~?"))&gt;1,"Duplicate record ID",IF(OR(IF(G19="",FALSE,IF(ISNUMBER(G19),OR(G19&lt;1,G19&lt;&gt;INT(G19)),TRUE)),IF(H19="",FALSE,IF(ISNUMBER(H19),OR(H19&lt;1,H19&lt;&gt;INT(H19)),TRUE))),"Invalid rank",IF(OR(IF(G19="",FALSE,COUNTIFS(RecordData[Query ID],"="&amp;SUBSTITUTE(SUBSTITUTE(SUBSTITUTE(A19,"~","~~"),"*","~*"),"?","~?"),RecordData[Rank A],G19)&gt;1),IF(H19="",FALSE,COUNTIFS(RecordData[Query ID],"="&amp;SUBSTITUTE(SUBSTITUTE(SUBSTITUTE(A19,"~","~~"),"*","~*"),"?","~?"),RecordData[Rank B],H19)&gt;1)),"Duplicate rank",IF(AND(F19&lt;&gt;"",F19&lt;&gt;"Yes",F19&lt;&gt;"No"),"Invalid seed flag",IF(AND(D19&lt;&gt;"",D19&lt;&gt;"Relevant",D19&lt;&gt;"Not relevant",D19&lt;&gt;"Unjudged"),"Invalid judgement",IF(AND(F19="Yes",D19="Not relevant"),"Seed marked not relevant",IF(AND(G19="",H19="",F19&lt;&gt;"Yes"),"Absent record must be a seed","OK"))))))))))))</x:f>
        <x:v>OK</x:v>
      </x:c>
      <x:c r="J19" s="11" t="n">
        <x:f>IF(AND(ISNUMBER(G19),G19&gt;=1,G19&lt;=Comparison!$B$4),1,0)</x:f>
        <x:v>1</x:v>
      </x:c>
      <x:c r="K19" s="11" t="n">
        <x:f>IF(AND(ISNUMBER(H19),H19&gt;=1,H19&lt;=Comparison!$B$4),1,0)</x:f>
        <x:v>1</x:v>
      </x:c>
      <x:c r="L19" s="11" t="n">
        <x:f>IF(AND(J19=1,D19="Relevant"),1,0)</x:f>
        <x:v>0</x:v>
      </x:c>
      <x:c r="M19" s="11" t="n">
        <x:f>IF(AND(K19=1,D19="Relevant"),1,0)</x:f>
        <x:v>0</x:v>
      </x:c>
      <x:c r="N19" s="11" t="n">
        <x:f>IF(AND(OR(J19=1,K19=1),D19&lt;&gt;"Relevant",D19&lt;&gt;"Not relevant"),1,0)</x:f>
        <x:v>0</x:v>
      </x:c>
      <x:c r="O19" s="11" t="n">
        <x:f>IF(AND(J19=1,F19="Yes"),1,0)</x:f>
        <x:v>0</x:v>
      </x:c>
      <x:c r="P19" s="11" t="n">
        <x:f>IF(AND(K19=1,F19="Yes"),1,0)</x:f>
        <x:v>0</x:v>
      </x:c>
      <x:c r="Q19" s="11" t="n">
        <x:f>IF(F19="Yes",1,0)</x:f>
        <x:v>0</x:v>
      </x:c>
    </x:row>
    <x:row r="20" ht="48" customHeight="1">
      <x:c r="A20" s="15" t="str">
        <x:v>EX01</x:v>
      </x:c>
      <x:c r="B20" s="15" t="str">
        <x:v>O</x:v>
      </x:c>
      <x:c r="C20" s="12" t="str">
        <x:v>https://aarontaycheehsien.github.io/Information-retrieval-crashcourse/search-textbook.html#fig-14-1</x:v>
      </x:c>
      <x:c r="D20" s="12" t="str">
        <x:v>Not relevant</x:v>
      </x:c>
      <x:c r="E20" s="12" t="str">
        <x:v>Stipulated label in Figure 14.1</x:v>
      </x:c>
      <x:c r="F20" s="10" t="str">
        <x:v>No</x:v>
      </x:c>
      <x:c r="G20" s="10" t="n">
        <x:v>7</x:v>
      </x:c>
      <x:c r="H20" s="10" t="n">
        <x:v>15</x:v>
      </x:c>
      <x:c r="I20" s="11" t="str">
        <x:f>IF(COUNTA(A20:H20)=0,"",IF(A20="","Missing query ID",IF(COUNTIFS(QueryData[Query ID],"="&amp;SUBSTITUTE(SUBSTITUTE(SUBSTITUTE(A20,"~","~~"),"*","~*"),"?","~?"))=0,"Unknown query ID",IF(B20="","Missing record ID",IF(OR(OR(NOT(ISTEXT(A20)),TRIM(A20)&lt;&gt;A20),OR(NOT(ISTEXT(B20)),TRIM(B20)&lt;&gt;B20)),"IDs must be text without outer spaces",IF(COUNTIFS(RecordData[Query ID],"="&amp;SUBSTITUTE(SUBSTITUTE(SUBSTITUTE(A20,"~","~~"),"*","~*"),"?","~?"),RecordData[Record ID],"="&amp;SUBSTITUTE(SUBSTITUTE(SUBSTITUTE(B20,"~","~~"),"*","~*"),"?","~?"))&gt;1,"Duplicate record ID",IF(OR(IF(G20="",FALSE,IF(ISNUMBER(G20),OR(G20&lt;1,G20&lt;&gt;INT(G20)),TRUE)),IF(H20="",FALSE,IF(ISNUMBER(H20),OR(H20&lt;1,H20&lt;&gt;INT(H20)),TRUE))),"Invalid rank",IF(OR(IF(G20="",FALSE,COUNTIFS(RecordData[Query ID],"="&amp;SUBSTITUTE(SUBSTITUTE(SUBSTITUTE(A20,"~","~~"),"*","~*"),"?","~?"),RecordData[Rank A],G20)&gt;1),IF(H20="",FALSE,COUNTIFS(RecordData[Query ID],"="&amp;SUBSTITUTE(SUBSTITUTE(SUBSTITUTE(A20,"~","~~"),"*","~*"),"?","~?"),RecordData[Rank B],H20)&gt;1)),"Duplicate rank",IF(AND(F20&lt;&gt;"",F20&lt;&gt;"Yes",F20&lt;&gt;"No"),"Invalid seed flag",IF(AND(D20&lt;&gt;"",D20&lt;&gt;"Relevant",D20&lt;&gt;"Not relevant",D20&lt;&gt;"Unjudged"),"Invalid judgement",IF(AND(F20="Yes",D20="Not relevant"),"Seed marked not relevant",IF(AND(G20="",H20="",F20&lt;&gt;"Yes"),"Absent record must be a seed","OK"))))))))))))</x:f>
        <x:v>OK</x:v>
      </x:c>
      <x:c r="J20" s="11" t="n">
        <x:f>IF(AND(ISNUMBER(G20),G20&gt;=1,G20&lt;=Comparison!$B$4),1,0)</x:f>
        <x:v>1</x:v>
      </x:c>
      <x:c r="K20" s="11" t="n">
        <x:f>IF(AND(ISNUMBER(H20),H20&gt;=1,H20&lt;=Comparison!$B$4),1,0)</x:f>
        <x:v>0</x:v>
      </x:c>
      <x:c r="L20" s="11" t="n">
        <x:f>IF(AND(J20=1,D20="Relevant"),1,0)</x:f>
        <x:v>0</x:v>
      </x:c>
      <x:c r="M20" s="11" t="n">
        <x:f>IF(AND(K20=1,D20="Relevant"),1,0)</x:f>
        <x:v>0</x:v>
      </x:c>
      <x:c r="N20" s="11" t="n">
        <x:f>IF(AND(OR(J20=1,K20=1),D20&lt;&gt;"Relevant",D20&lt;&gt;"Not relevant"),1,0)</x:f>
        <x:v>0</x:v>
      </x:c>
      <x:c r="O20" s="11" t="n">
        <x:f>IF(AND(J20=1,F20="Yes"),1,0)</x:f>
        <x:v>0</x:v>
      </x:c>
      <x:c r="P20" s="11" t="n">
        <x:f>IF(AND(K20=1,F20="Yes"),1,0)</x:f>
        <x:v>0</x:v>
      </x:c>
      <x:c r="Q20" s="11" t="n">
        <x:f>IF(F20="Yes",1,0)</x:f>
        <x:v>0</x:v>
      </x:c>
    </x:row>
    <x:row r="21" ht="48" customHeight="1">
      <x:c r="A21" s="15" t="str">
        <x:v>EX01</x:v>
      </x:c>
      <x:c r="B21" s="15" t="str">
        <x:v>P</x:v>
      </x:c>
      <x:c r="C21" s="12" t="str">
        <x:v>https://aarontaycheehsien.github.io/Information-retrieval-crashcourse/search-textbook.html#fig-14-1</x:v>
      </x:c>
      <x:c r="D21" s="12" t="str">
        <x:v>Not relevant</x:v>
      </x:c>
      <x:c r="E21" s="12" t="str">
        <x:v>Stipulated label in Figure 14.1</x:v>
      </x:c>
      <x:c r="F21" s="10" t="str">
        <x:v>No</x:v>
      </x:c>
      <x:c r="G21" s="10" t="n">
        <x:v>8</x:v>
      </x:c>
      <x:c r="H21" s="10" t="n">
        <x:v>16</x:v>
      </x:c>
      <x:c r="I21" s="11" t="str">
        <x:f>IF(COUNTA(A21:H21)=0,"",IF(A21="","Missing query ID",IF(COUNTIFS(QueryData[Query ID],"="&amp;SUBSTITUTE(SUBSTITUTE(SUBSTITUTE(A21,"~","~~"),"*","~*"),"?","~?"))=0,"Unknown query ID",IF(B21="","Missing record ID",IF(OR(OR(NOT(ISTEXT(A21)),TRIM(A21)&lt;&gt;A21),OR(NOT(ISTEXT(B21)),TRIM(B21)&lt;&gt;B21)),"IDs must be text without outer spaces",IF(COUNTIFS(RecordData[Query ID],"="&amp;SUBSTITUTE(SUBSTITUTE(SUBSTITUTE(A21,"~","~~"),"*","~*"),"?","~?"),RecordData[Record ID],"="&amp;SUBSTITUTE(SUBSTITUTE(SUBSTITUTE(B21,"~","~~"),"*","~*"),"?","~?"))&gt;1,"Duplicate record ID",IF(OR(IF(G21="",FALSE,IF(ISNUMBER(G21),OR(G21&lt;1,G21&lt;&gt;INT(G21)),TRUE)),IF(H21="",FALSE,IF(ISNUMBER(H21),OR(H21&lt;1,H21&lt;&gt;INT(H21)),TRUE))),"Invalid rank",IF(OR(IF(G21="",FALSE,COUNTIFS(RecordData[Query ID],"="&amp;SUBSTITUTE(SUBSTITUTE(SUBSTITUTE(A21,"~","~~"),"*","~*"),"?","~?"),RecordData[Rank A],G21)&gt;1),IF(H21="",FALSE,COUNTIFS(RecordData[Query ID],"="&amp;SUBSTITUTE(SUBSTITUTE(SUBSTITUTE(A21,"~","~~"),"*","~*"),"?","~?"),RecordData[Rank B],H21)&gt;1)),"Duplicate rank",IF(AND(F21&lt;&gt;"",F21&lt;&gt;"Yes",F21&lt;&gt;"No"),"Invalid seed flag",IF(AND(D21&lt;&gt;"",D21&lt;&gt;"Relevant",D21&lt;&gt;"Not relevant",D21&lt;&gt;"Unjudged"),"Invalid judgement",IF(AND(F21="Yes",D21="Not relevant"),"Seed marked not relevant",IF(AND(G21="",H21="",F21&lt;&gt;"Yes"),"Absent record must be a seed","OK"))))))))))))</x:f>
        <x:v>OK</x:v>
      </x:c>
      <x:c r="J21" s="11" t="n">
        <x:f>IF(AND(ISNUMBER(G21),G21&gt;=1,G21&lt;=Comparison!$B$4),1,0)</x:f>
        <x:v>1</x:v>
      </x:c>
      <x:c r="K21" s="11" t="n">
        <x:f>IF(AND(ISNUMBER(H21),H21&gt;=1,H21&lt;=Comparison!$B$4),1,0)</x:f>
        <x:v>0</x:v>
      </x:c>
      <x:c r="L21" s="11" t="n">
        <x:f>IF(AND(J21=1,D21="Relevant"),1,0)</x:f>
        <x:v>0</x:v>
      </x:c>
      <x:c r="M21" s="11" t="n">
        <x:f>IF(AND(K21=1,D21="Relevant"),1,0)</x:f>
        <x:v>0</x:v>
      </x:c>
      <x:c r="N21" s="11" t="n">
        <x:f>IF(AND(OR(J21=1,K21=1),D21&lt;&gt;"Relevant",D21&lt;&gt;"Not relevant"),1,0)</x:f>
        <x:v>0</x:v>
      </x:c>
      <x:c r="O21" s="11" t="n">
        <x:f>IF(AND(J21=1,F21="Yes"),1,0)</x:f>
        <x:v>0</x:v>
      </x:c>
      <x:c r="P21" s="11" t="n">
        <x:f>IF(AND(K21=1,F21="Yes"),1,0)</x:f>
        <x:v>0</x:v>
      </x:c>
      <x:c r="Q21" s="11" t="n">
        <x:f>IF(F21="Yes",1,0)</x:f>
        <x:v>0</x:v>
      </x:c>
    </x:row>
    <x:row r="22" ht="48" customHeight="1">
      <x:c r="A22" s="15" t="str">
        <x:v>EX01</x:v>
      </x:c>
      <x:c r="B22" s="15" t="str">
        <x:v>Q</x:v>
      </x:c>
      <x:c r="C22" s="12" t="str">
        <x:v>https://aarontaycheehsien.github.io/Information-retrieval-crashcourse/search-textbook.html#fig-14-1</x:v>
      </x:c>
      <x:c r="D22" s="12" t="str">
        <x:v>Not relevant</x:v>
      </x:c>
      <x:c r="E22" s="12" t="str">
        <x:v>Stipulated label in Figure 14.1</x:v>
      </x:c>
      <x:c r="F22" s="10" t="str">
        <x:v>No</x:v>
      </x:c>
      <x:c r="G22" s="10" t="n">
        <x:v>9</x:v>
      </x:c>
      <x:c r="H22" s="10" t="n">
        <x:v>17</x:v>
      </x:c>
      <x:c r="I22" s="11" t="str">
        <x:f>IF(COUNTA(A22:H22)=0,"",IF(A22="","Missing query ID",IF(COUNTIFS(QueryData[Query ID],"="&amp;SUBSTITUTE(SUBSTITUTE(SUBSTITUTE(A22,"~","~~"),"*","~*"),"?","~?"))=0,"Unknown query ID",IF(B22="","Missing record ID",IF(OR(OR(NOT(ISTEXT(A22)),TRIM(A22)&lt;&gt;A22),OR(NOT(ISTEXT(B22)),TRIM(B22)&lt;&gt;B22)),"IDs must be text without outer spaces",IF(COUNTIFS(RecordData[Query ID],"="&amp;SUBSTITUTE(SUBSTITUTE(SUBSTITUTE(A22,"~","~~"),"*","~*"),"?","~?"),RecordData[Record ID],"="&amp;SUBSTITUTE(SUBSTITUTE(SUBSTITUTE(B22,"~","~~"),"*","~*"),"?","~?"))&gt;1,"Duplicate record ID",IF(OR(IF(G22="",FALSE,IF(ISNUMBER(G22),OR(G22&lt;1,G22&lt;&gt;INT(G22)),TRUE)),IF(H22="",FALSE,IF(ISNUMBER(H22),OR(H22&lt;1,H22&lt;&gt;INT(H22)),TRUE))),"Invalid rank",IF(OR(IF(G22="",FALSE,COUNTIFS(RecordData[Query ID],"="&amp;SUBSTITUTE(SUBSTITUTE(SUBSTITUTE(A22,"~","~~"),"*","~*"),"?","~?"),RecordData[Rank A],G22)&gt;1),IF(H22="",FALSE,COUNTIFS(RecordData[Query ID],"="&amp;SUBSTITUTE(SUBSTITUTE(SUBSTITUTE(A22,"~","~~"),"*","~*"),"?","~?"),RecordData[Rank B],H22)&gt;1)),"Duplicate rank",IF(AND(F22&lt;&gt;"",F22&lt;&gt;"Yes",F22&lt;&gt;"No"),"Invalid seed flag",IF(AND(D22&lt;&gt;"",D22&lt;&gt;"Relevant",D22&lt;&gt;"Not relevant",D22&lt;&gt;"Unjudged"),"Invalid judgement",IF(AND(F22="Yes",D22="Not relevant"),"Seed marked not relevant",IF(AND(G22="",H22="",F22&lt;&gt;"Yes"),"Absent record must be a seed","OK"))))))))))))</x:f>
        <x:v>OK</x:v>
      </x:c>
      <x:c r="J22" s="11" t="n">
        <x:f>IF(AND(ISNUMBER(G22),G22&gt;=1,G22&lt;=Comparison!$B$4),1,0)</x:f>
        <x:v>1</x:v>
      </x:c>
      <x:c r="K22" s="11" t="n">
        <x:f>IF(AND(ISNUMBER(H22),H22&gt;=1,H22&lt;=Comparison!$B$4),1,0)</x:f>
        <x:v>0</x:v>
      </x:c>
      <x:c r="L22" s="11" t="n">
        <x:f>IF(AND(J22=1,D22="Relevant"),1,0)</x:f>
        <x:v>0</x:v>
      </x:c>
      <x:c r="M22" s="11" t="n">
        <x:f>IF(AND(K22=1,D22="Relevant"),1,0)</x:f>
        <x:v>0</x:v>
      </x:c>
      <x:c r="N22" s="11" t="n">
        <x:f>IF(AND(OR(J22=1,K22=1),D22&lt;&gt;"Relevant",D22&lt;&gt;"Not relevant"),1,0)</x:f>
        <x:v>0</x:v>
      </x:c>
      <x:c r="O22" s="11" t="n">
        <x:f>IF(AND(J22=1,F22="Yes"),1,0)</x:f>
        <x:v>0</x:v>
      </x:c>
      <x:c r="P22" s="11" t="n">
        <x:f>IF(AND(K22=1,F22="Yes"),1,0)</x:f>
        <x:v>0</x:v>
      </x:c>
      <x:c r="Q22" s="11" t="n">
        <x:f>IF(F22="Yes",1,0)</x:f>
        <x:v>0</x:v>
      </x:c>
    </x:row>
    <x:row r="23" ht="48" customHeight="1">
      <x:c r="A23" s="15" t="str">
        <x:v>EX01</x:v>
      </x:c>
      <x:c r="B23" s="15" t="str">
        <x:v>R</x:v>
      </x:c>
      <x:c r="C23" s="12" t="str">
        <x:v>https://aarontaycheehsien.github.io/Information-retrieval-crashcourse/search-textbook.html#fig-14-1</x:v>
      </x:c>
      <x:c r="D23" s="12" t="str">
        <x:v>Not relevant</x:v>
      </x:c>
      <x:c r="E23" s="12" t="str">
        <x:v>Stipulated label in Figure 14.1</x:v>
      </x:c>
      <x:c r="F23" s="10" t="str">
        <x:v>No</x:v>
      </x:c>
      <x:c r="G23" s="10" t="n">
        <x:v>10</x:v>
      </x:c>
      <x:c r="H23" s="10" t="n">
        <x:v>18</x:v>
      </x:c>
      <x:c r="I23" s="11" t="str">
        <x:f>IF(COUNTA(A23:H23)=0,"",IF(A23="","Missing query ID",IF(COUNTIFS(QueryData[Query ID],"="&amp;SUBSTITUTE(SUBSTITUTE(SUBSTITUTE(A23,"~","~~"),"*","~*"),"?","~?"))=0,"Unknown query ID",IF(B23="","Missing record ID",IF(OR(OR(NOT(ISTEXT(A23)),TRIM(A23)&lt;&gt;A23),OR(NOT(ISTEXT(B23)),TRIM(B23)&lt;&gt;B23)),"IDs must be text without outer spaces",IF(COUNTIFS(RecordData[Query ID],"="&amp;SUBSTITUTE(SUBSTITUTE(SUBSTITUTE(A23,"~","~~"),"*","~*"),"?","~?"),RecordData[Record ID],"="&amp;SUBSTITUTE(SUBSTITUTE(SUBSTITUTE(B23,"~","~~"),"*","~*"),"?","~?"))&gt;1,"Duplicate record ID",IF(OR(IF(G23="",FALSE,IF(ISNUMBER(G23),OR(G23&lt;1,G23&lt;&gt;INT(G23)),TRUE)),IF(H23="",FALSE,IF(ISNUMBER(H23),OR(H23&lt;1,H23&lt;&gt;INT(H23)),TRUE))),"Invalid rank",IF(OR(IF(G23="",FALSE,COUNTIFS(RecordData[Query ID],"="&amp;SUBSTITUTE(SUBSTITUTE(SUBSTITUTE(A23,"~","~~"),"*","~*"),"?","~?"),RecordData[Rank A],G23)&gt;1),IF(H23="",FALSE,COUNTIFS(RecordData[Query ID],"="&amp;SUBSTITUTE(SUBSTITUTE(SUBSTITUTE(A23,"~","~~"),"*","~*"),"?","~?"),RecordData[Rank B],H23)&gt;1)),"Duplicate rank",IF(AND(F23&lt;&gt;"",F23&lt;&gt;"Yes",F23&lt;&gt;"No"),"Invalid seed flag",IF(AND(D23&lt;&gt;"",D23&lt;&gt;"Relevant",D23&lt;&gt;"Not relevant",D23&lt;&gt;"Unjudged"),"Invalid judgement",IF(AND(F23="Yes",D23="Not relevant"),"Seed marked not relevant",IF(AND(G23="",H23="",F23&lt;&gt;"Yes"),"Absent record must be a seed","OK"))))))))))))</x:f>
        <x:v>OK</x:v>
      </x:c>
      <x:c r="J23" s="11" t="n">
        <x:f>IF(AND(ISNUMBER(G23),G23&gt;=1,G23&lt;=Comparison!$B$4),1,0)</x:f>
        <x:v>1</x:v>
      </x:c>
      <x:c r="K23" s="11" t="n">
        <x:f>IF(AND(ISNUMBER(H23),H23&gt;=1,H23&lt;=Comparison!$B$4),1,0)</x:f>
        <x:v>0</x:v>
      </x:c>
      <x:c r="L23" s="11" t="n">
        <x:f>IF(AND(J23=1,D23="Relevant"),1,0)</x:f>
        <x:v>0</x:v>
      </x:c>
      <x:c r="M23" s="11" t="n">
        <x:f>IF(AND(K23=1,D23="Relevant"),1,0)</x:f>
        <x:v>0</x:v>
      </x:c>
      <x:c r="N23" s="11" t="n">
        <x:f>IF(AND(OR(J23=1,K23=1),D23&lt;&gt;"Relevant",D23&lt;&gt;"Not relevant"),1,0)</x:f>
        <x:v>0</x:v>
      </x:c>
      <x:c r="O23" s="11" t="n">
        <x:f>IF(AND(J23=1,F23="Yes"),1,0)</x:f>
        <x:v>0</x:v>
      </x:c>
      <x:c r="P23" s="11" t="n">
        <x:f>IF(AND(K23=1,F23="Yes"),1,0)</x:f>
        <x:v>0</x:v>
      </x:c>
      <x:c r="Q23" s="11" t="n">
        <x:f>IF(F23="Yes",1,0)</x:f>
        <x:v>0</x:v>
      </x:c>
    </x:row>
    <x:row r="24" ht="48" customHeight="1">
      <x:c r="A24" s="15" t="str">
        <x:v>EX01</x:v>
      </x:c>
      <x:c r="B24" s="15" t="str">
        <x:v>S</x:v>
      </x:c>
      <x:c r="C24" s="12" t="str">
        <x:v>https://aarontaycheehsien.github.io/Information-retrieval-crashcourse/search-textbook.html#fig-14-1</x:v>
      </x:c>
      <x:c r="D24" s="12" t="str">
        <x:v>Not relevant</x:v>
      </x:c>
      <x:c r="E24" s="12" t="str">
        <x:v>Stipulated label in Figure 14.1</x:v>
      </x:c>
      <x:c r="F24" s="10" t="str">
        <x:v>No</x:v>
      </x:c>
      <x:c r="G24" s="10" t="n">
        <x:v>19</x:v>
      </x:c>
      <x:c r="H24" s="10" t="n">
        <x:v>19</x:v>
      </x:c>
      <x:c r="I24" s="11" t="str">
        <x:f>IF(COUNTA(A24:H24)=0,"",IF(A24="","Missing query ID",IF(COUNTIFS(QueryData[Query ID],"="&amp;SUBSTITUTE(SUBSTITUTE(SUBSTITUTE(A24,"~","~~"),"*","~*"),"?","~?"))=0,"Unknown query ID",IF(B24="","Missing record ID",IF(OR(OR(NOT(ISTEXT(A24)),TRIM(A24)&lt;&gt;A24),OR(NOT(ISTEXT(B24)),TRIM(B24)&lt;&gt;B24)),"IDs must be text without outer spaces",IF(COUNTIFS(RecordData[Query ID],"="&amp;SUBSTITUTE(SUBSTITUTE(SUBSTITUTE(A24,"~","~~"),"*","~*"),"?","~?"),RecordData[Record ID],"="&amp;SUBSTITUTE(SUBSTITUTE(SUBSTITUTE(B24,"~","~~"),"*","~*"),"?","~?"))&gt;1,"Duplicate record ID",IF(OR(IF(G24="",FALSE,IF(ISNUMBER(G24),OR(G24&lt;1,G24&lt;&gt;INT(G24)),TRUE)),IF(H24="",FALSE,IF(ISNUMBER(H24),OR(H24&lt;1,H24&lt;&gt;INT(H24)),TRUE))),"Invalid rank",IF(OR(IF(G24="",FALSE,COUNTIFS(RecordData[Query ID],"="&amp;SUBSTITUTE(SUBSTITUTE(SUBSTITUTE(A24,"~","~~"),"*","~*"),"?","~?"),RecordData[Rank A],G24)&gt;1),IF(H24="",FALSE,COUNTIFS(RecordData[Query ID],"="&amp;SUBSTITUTE(SUBSTITUTE(SUBSTITUTE(A24,"~","~~"),"*","~*"),"?","~?"),RecordData[Rank B],H24)&gt;1)),"Duplicate rank",IF(AND(F24&lt;&gt;"",F24&lt;&gt;"Yes",F24&lt;&gt;"No"),"Invalid seed flag",IF(AND(D24&lt;&gt;"",D24&lt;&gt;"Relevant",D24&lt;&gt;"Not relevant",D24&lt;&gt;"Unjudged"),"Invalid judgement",IF(AND(F24="Yes",D24="Not relevant"),"Seed marked not relevant",IF(AND(G24="",H24="",F24&lt;&gt;"Yes"),"Absent record must be a seed","OK"))))))))))))</x:f>
        <x:v>OK</x:v>
      </x:c>
      <x:c r="J24" s="11" t="n">
        <x:f>IF(AND(ISNUMBER(G24),G24&gt;=1,G24&lt;=Comparison!$B$4),1,0)</x:f>
        <x:v>0</x:v>
      </x:c>
      <x:c r="K24" s="11" t="n">
        <x:f>IF(AND(ISNUMBER(H24),H24&gt;=1,H24&lt;=Comparison!$B$4),1,0)</x:f>
        <x:v>0</x:v>
      </x:c>
      <x:c r="L24" s="11" t="n">
        <x:f>IF(AND(J24=1,D24="Relevant"),1,0)</x:f>
        <x:v>0</x:v>
      </x:c>
      <x:c r="M24" s="11" t="n">
        <x:f>IF(AND(K24=1,D24="Relevant"),1,0)</x:f>
        <x:v>0</x:v>
      </x:c>
      <x:c r="N24" s="11" t="n">
        <x:f>IF(AND(OR(J24=1,K24=1),D24&lt;&gt;"Relevant",D24&lt;&gt;"Not relevant"),1,0)</x:f>
        <x:v>0</x:v>
      </x:c>
      <x:c r="O24" s="11" t="n">
        <x:f>IF(AND(J24=1,F24="Yes"),1,0)</x:f>
        <x:v>0</x:v>
      </x:c>
      <x:c r="P24" s="11" t="n">
        <x:f>IF(AND(K24=1,F24="Yes"),1,0)</x:f>
        <x:v>0</x:v>
      </x:c>
      <x:c r="Q24" s="11" t="n">
        <x:f>IF(F24="Yes",1,0)</x:f>
        <x:v>0</x:v>
      </x:c>
    </x:row>
    <x:row r="25" ht="48" customHeight="1">
      <x:c r="A25" s="15" t="str">
        <x:v>EX01</x:v>
      </x:c>
      <x:c r="B25" s="15" t="str">
        <x:v>T</x:v>
      </x:c>
      <x:c r="C25" s="12" t="str">
        <x:v>https://aarontaycheehsien.github.io/Information-retrieval-crashcourse/search-textbook.html#fig-14-1</x:v>
      </x:c>
      <x:c r="D25" s="12" t="str">
        <x:v>Not relevant</x:v>
      </x:c>
      <x:c r="E25" s="12" t="str">
        <x:v>Stipulated label in Figure 14.1</x:v>
      </x:c>
      <x:c r="F25" s="10" t="str">
        <x:v>No</x:v>
      </x:c>
      <x:c r="G25" s="10" t="n">
        <x:v>20</x:v>
      </x:c>
      <x:c r="H25" s="10" t="n">
        <x:v>20</x:v>
      </x:c>
      <x:c r="I25" s="11" t="str">
        <x:f>IF(COUNTA(A25:H25)=0,"",IF(A25="","Missing query ID",IF(COUNTIFS(QueryData[Query ID],"="&amp;SUBSTITUTE(SUBSTITUTE(SUBSTITUTE(A25,"~","~~"),"*","~*"),"?","~?"))=0,"Unknown query ID",IF(B25="","Missing record ID",IF(OR(OR(NOT(ISTEXT(A25)),TRIM(A25)&lt;&gt;A25),OR(NOT(ISTEXT(B25)),TRIM(B25)&lt;&gt;B25)),"IDs must be text without outer spaces",IF(COUNTIFS(RecordData[Query ID],"="&amp;SUBSTITUTE(SUBSTITUTE(SUBSTITUTE(A25,"~","~~"),"*","~*"),"?","~?"),RecordData[Record ID],"="&amp;SUBSTITUTE(SUBSTITUTE(SUBSTITUTE(B25,"~","~~"),"*","~*"),"?","~?"))&gt;1,"Duplicate record ID",IF(OR(IF(G25="",FALSE,IF(ISNUMBER(G25),OR(G25&lt;1,G25&lt;&gt;INT(G25)),TRUE)),IF(H25="",FALSE,IF(ISNUMBER(H25),OR(H25&lt;1,H25&lt;&gt;INT(H25)),TRUE))),"Invalid rank",IF(OR(IF(G25="",FALSE,COUNTIFS(RecordData[Query ID],"="&amp;SUBSTITUTE(SUBSTITUTE(SUBSTITUTE(A25,"~","~~"),"*","~*"),"?","~?"),RecordData[Rank A],G25)&gt;1),IF(H25="",FALSE,COUNTIFS(RecordData[Query ID],"="&amp;SUBSTITUTE(SUBSTITUTE(SUBSTITUTE(A25,"~","~~"),"*","~*"),"?","~?"),RecordData[Rank B],H25)&gt;1)),"Duplicate rank",IF(AND(F25&lt;&gt;"",F25&lt;&gt;"Yes",F25&lt;&gt;"No"),"Invalid seed flag",IF(AND(D25&lt;&gt;"",D25&lt;&gt;"Relevant",D25&lt;&gt;"Not relevant",D25&lt;&gt;"Unjudged"),"Invalid judgement",IF(AND(F25="Yes",D25="Not relevant"),"Seed marked not relevant",IF(AND(G25="",H25="",F25&lt;&gt;"Yes"),"Absent record must be a seed","OK"))))))))))))</x:f>
        <x:v>OK</x:v>
      </x:c>
      <x:c r="J25" s="11" t="n">
        <x:f>IF(AND(ISNUMBER(G25),G25&gt;=1,G25&lt;=Comparison!$B$4),1,0)</x:f>
        <x:v>0</x:v>
      </x:c>
      <x:c r="K25" s="11" t="n">
        <x:f>IF(AND(ISNUMBER(H25),H25&gt;=1,H25&lt;=Comparison!$B$4),1,0)</x:f>
        <x:v>0</x:v>
      </x:c>
      <x:c r="L25" s="11" t="n">
        <x:f>IF(AND(J25=1,D25="Relevant"),1,0)</x:f>
        <x:v>0</x:v>
      </x:c>
      <x:c r="M25" s="11" t="n">
        <x:f>IF(AND(K25=1,D25="Relevant"),1,0)</x:f>
        <x:v>0</x:v>
      </x:c>
      <x:c r="N25" s="11" t="n">
        <x:f>IF(AND(OR(J25=1,K25=1),D25&lt;&gt;"Relevant",D25&lt;&gt;"Not relevant"),1,0)</x:f>
        <x:v>0</x:v>
      </x:c>
      <x:c r="O25" s="11" t="n">
        <x:f>IF(AND(J25=1,F25="Yes"),1,0)</x:f>
        <x:v>0</x:v>
      </x:c>
      <x:c r="P25" s="11" t="n">
        <x:f>IF(AND(K25=1,F25="Yes"),1,0)</x:f>
        <x:v>0</x:v>
      </x:c>
      <x:c r="Q25" s="11" t="n">
        <x:f>IF(F25="Yes",1,0)</x:f>
        <x:v>0</x:v>
      </x:c>
    </x:row>
    <x:row r="26" ht="48" customHeight="1">
      <x:c r="A26" s="15"/>
      <x:c r="B26" s="15"/>
      <x:c r="C26" s="12"/>
      <x:c r="D26" s="12"/>
      <x:c r="E26" s="12"/>
      <x:c r="F26" s="10"/>
      <x:c r="G26" s="10"/>
      <x:c r="H26" s="10"/>
      <x:c r="I26" s="11" t="str">
        <x:f>IF(COUNTA(A26:H26)=0,"",IF(A26="","Missing query ID",IF(COUNTIFS(QueryData[Query ID],"="&amp;SUBSTITUTE(SUBSTITUTE(SUBSTITUTE(A26,"~","~~"),"*","~*"),"?","~?"))=0,"Unknown query ID",IF(B26="","Missing record ID",IF(OR(OR(NOT(ISTEXT(A26)),TRIM(A26)&lt;&gt;A26),OR(NOT(ISTEXT(B26)),TRIM(B26)&lt;&gt;B26)),"IDs must be text without outer spaces",IF(COUNTIFS(RecordData[Query ID],"="&amp;SUBSTITUTE(SUBSTITUTE(SUBSTITUTE(A26,"~","~~"),"*","~*"),"?","~?"),RecordData[Record ID],"="&amp;SUBSTITUTE(SUBSTITUTE(SUBSTITUTE(B26,"~","~~"),"*","~*"),"?","~?"))&gt;1,"Duplicate record ID",IF(OR(IF(G26="",FALSE,IF(ISNUMBER(G26),OR(G26&lt;1,G26&lt;&gt;INT(G26)),TRUE)),IF(H26="",FALSE,IF(ISNUMBER(H26),OR(H26&lt;1,H26&lt;&gt;INT(H26)),TRUE))),"Invalid rank",IF(OR(IF(G26="",FALSE,COUNTIFS(RecordData[Query ID],"="&amp;SUBSTITUTE(SUBSTITUTE(SUBSTITUTE(A26,"~","~~"),"*","~*"),"?","~?"),RecordData[Rank A],G26)&gt;1),IF(H26="",FALSE,COUNTIFS(RecordData[Query ID],"="&amp;SUBSTITUTE(SUBSTITUTE(SUBSTITUTE(A26,"~","~~"),"*","~*"),"?","~?"),RecordData[Rank B],H26)&gt;1)),"Duplicate rank",IF(AND(F26&lt;&gt;"",F26&lt;&gt;"Yes",F26&lt;&gt;"No"),"Invalid seed flag",IF(AND(D26&lt;&gt;"",D26&lt;&gt;"Relevant",D26&lt;&gt;"Not relevant",D26&lt;&gt;"Unjudged"),"Invalid judgement",IF(AND(F26="Yes",D26="Not relevant"),"Seed marked not relevant",IF(AND(G26="",H26="",F26&lt;&gt;"Yes"),"Absent record must be a seed","OK"))))))))))))</x:f>
      </x:c>
      <x:c r="J26" s="11" t="n">
        <x:f>IF(AND(ISNUMBER(G26),G26&gt;=1,G26&lt;=Comparison!$B$4),1,0)</x:f>
        <x:v>0</x:v>
      </x:c>
      <x:c r="K26" s="11" t="n">
        <x:f>IF(AND(ISNUMBER(H26),H26&gt;=1,H26&lt;=Comparison!$B$4),1,0)</x:f>
        <x:v>0</x:v>
      </x:c>
      <x:c r="L26" s="11" t="n">
        <x:f>IF(AND(J26=1,D26="Relevant"),1,0)</x:f>
        <x:v>0</x:v>
      </x:c>
      <x:c r="M26" s="11" t="n">
        <x:f>IF(AND(K26=1,D26="Relevant"),1,0)</x:f>
        <x:v>0</x:v>
      </x:c>
      <x:c r="N26" s="11" t="n">
        <x:f>IF(AND(OR(J26=1,K26=1),D26&lt;&gt;"Relevant",D26&lt;&gt;"Not relevant"),1,0)</x:f>
        <x:v>0</x:v>
      </x:c>
      <x:c r="O26" s="11" t="n">
        <x:f>IF(AND(J26=1,F26="Yes"),1,0)</x:f>
        <x:v>0</x:v>
      </x:c>
      <x:c r="P26" s="11" t="n">
        <x:f>IF(AND(K26=1,F26="Yes"),1,0)</x:f>
        <x:v>0</x:v>
      </x:c>
      <x:c r="Q26" s="11" t="n">
        <x:f>IF(F26="Yes",1,0)</x:f>
        <x:v>0</x:v>
      </x:c>
    </x:row>
    <x:row r="27" ht="48" customHeight="1">
      <x:c r="A27" s="15"/>
      <x:c r="B27" s="15"/>
      <x:c r="C27" s="12"/>
      <x:c r="D27" s="12"/>
      <x:c r="E27" s="12"/>
      <x:c r="F27" s="10"/>
      <x:c r="G27" s="10"/>
      <x:c r="H27" s="10"/>
      <x:c r="I27" s="11" t="str">
        <x:f>IF(COUNTA(A27:H27)=0,"",IF(A27="","Missing query ID",IF(COUNTIFS(QueryData[Query ID],"="&amp;SUBSTITUTE(SUBSTITUTE(SUBSTITUTE(A27,"~","~~"),"*","~*"),"?","~?"))=0,"Unknown query ID",IF(B27="","Missing record ID",IF(OR(OR(NOT(ISTEXT(A27)),TRIM(A27)&lt;&gt;A27),OR(NOT(ISTEXT(B27)),TRIM(B27)&lt;&gt;B27)),"IDs must be text without outer spaces",IF(COUNTIFS(RecordData[Query ID],"="&amp;SUBSTITUTE(SUBSTITUTE(SUBSTITUTE(A27,"~","~~"),"*","~*"),"?","~?"),RecordData[Record ID],"="&amp;SUBSTITUTE(SUBSTITUTE(SUBSTITUTE(B27,"~","~~"),"*","~*"),"?","~?"))&gt;1,"Duplicate record ID",IF(OR(IF(G27="",FALSE,IF(ISNUMBER(G27),OR(G27&lt;1,G27&lt;&gt;INT(G27)),TRUE)),IF(H27="",FALSE,IF(ISNUMBER(H27),OR(H27&lt;1,H27&lt;&gt;INT(H27)),TRUE))),"Invalid rank",IF(OR(IF(G27="",FALSE,COUNTIFS(RecordData[Query ID],"="&amp;SUBSTITUTE(SUBSTITUTE(SUBSTITUTE(A27,"~","~~"),"*","~*"),"?","~?"),RecordData[Rank A],G27)&gt;1),IF(H27="",FALSE,COUNTIFS(RecordData[Query ID],"="&amp;SUBSTITUTE(SUBSTITUTE(SUBSTITUTE(A27,"~","~~"),"*","~*"),"?","~?"),RecordData[Rank B],H27)&gt;1)),"Duplicate rank",IF(AND(F27&lt;&gt;"",F27&lt;&gt;"Yes",F27&lt;&gt;"No"),"Invalid seed flag",IF(AND(D27&lt;&gt;"",D27&lt;&gt;"Relevant",D27&lt;&gt;"Not relevant",D27&lt;&gt;"Unjudged"),"Invalid judgement",IF(AND(F27="Yes",D27="Not relevant"),"Seed marked not relevant",IF(AND(G27="",H27="",F27&lt;&gt;"Yes"),"Absent record must be a seed","OK"))))))))))))</x:f>
      </x:c>
      <x:c r="J27" s="11" t="n">
        <x:f>IF(AND(ISNUMBER(G27),G27&gt;=1,G27&lt;=Comparison!$B$4),1,0)</x:f>
        <x:v>0</x:v>
      </x:c>
      <x:c r="K27" s="11" t="n">
        <x:f>IF(AND(ISNUMBER(H27),H27&gt;=1,H27&lt;=Comparison!$B$4),1,0)</x:f>
        <x:v>0</x:v>
      </x:c>
      <x:c r="L27" s="11" t="n">
        <x:f>IF(AND(J27=1,D27="Relevant"),1,0)</x:f>
        <x:v>0</x:v>
      </x:c>
      <x:c r="M27" s="11" t="n">
        <x:f>IF(AND(K27=1,D27="Relevant"),1,0)</x:f>
        <x:v>0</x:v>
      </x:c>
      <x:c r="N27" s="11" t="n">
        <x:f>IF(AND(OR(J27=1,K27=1),D27&lt;&gt;"Relevant",D27&lt;&gt;"Not relevant"),1,0)</x:f>
        <x:v>0</x:v>
      </x:c>
      <x:c r="O27" s="11" t="n">
        <x:f>IF(AND(J27=1,F27="Yes"),1,0)</x:f>
        <x:v>0</x:v>
      </x:c>
      <x:c r="P27" s="11" t="n">
        <x:f>IF(AND(K27=1,F27="Yes"),1,0)</x:f>
        <x:v>0</x:v>
      </x:c>
      <x:c r="Q27" s="11" t="n">
        <x:f>IF(F27="Yes",1,0)</x:f>
        <x:v>0</x:v>
      </x:c>
    </x:row>
    <x:row r="28" ht="48" customHeight="1">
      <x:c r="A28" s="15"/>
      <x:c r="B28" s="15"/>
      <x:c r="C28" s="12"/>
      <x:c r="D28" s="12"/>
      <x:c r="E28" s="12"/>
      <x:c r="F28" s="10"/>
      <x:c r="G28" s="10"/>
      <x:c r="H28" s="10"/>
      <x:c r="I28" s="11" t="str">
        <x:f>IF(COUNTA(A28:H28)=0,"",IF(A28="","Missing query ID",IF(COUNTIFS(QueryData[Query ID],"="&amp;SUBSTITUTE(SUBSTITUTE(SUBSTITUTE(A28,"~","~~"),"*","~*"),"?","~?"))=0,"Unknown query ID",IF(B28="","Missing record ID",IF(OR(OR(NOT(ISTEXT(A28)),TRIM(A28)&lt;&gt;A28),OR(NOT(ISTEXT(B28)),TRIM(B28)&lt;&gt;B28)),"IDs must be text without outer spaces",IF(COUNTIFS(RecordData[Query ID],"="&amp;SUBSTITUTE(SUBSTITUTE(SUBSTITUTE(A28,"~","~~"),"*","~*"),"?","~?"),RecordData[Record ID],"="&amp;SUBSTITUTE(SUBSTITUTE(SUBSTITUTE(B28,"~","~~"),"*","~*"),"?","~?"))&gt;1,"Duplicate record ID",IF(OR(IF(G28="",FALSE,IF(ISNUMBER(G28),OR(G28&lt;1,G28&lt;&gt;INT(G28)),TRUE)),IF(H28="",FALSE,IF(ISNUMBER(H28),OR(H28&lt;1,H28&lt;&gt;INT(H28)),TRUE))),"Invalid rank",IF(OR(IF(G28="",FALSE,COUNTIFS(RecordData[Query ID],"="&amp;SUBSTITUTE(SUBSTITUTE(SUBSTITUTE(A28,"~","~~"),"*","~*"),"?","~?"),RecordData[Rank A],G28)&gt;1),IF(H28="",FALSE,COUNTIFS(RecordData[Query ID],"="&amp;SUBSTITUTE(SUBSTITUTE(SUBSTITUTE(A28,"~","~~"),"*","~*"),"?","~?"),RecordData[Rank B],H28)&gt;1)),"Duplicate rank",IF(AND(F28&lt;&gt;"",F28&lt;&gt;"Yes",F28&lt;&gt;"No"),"Invalid seed flag",IF(AND(D28&lt;&gt;"",D28&lt;&gt;"Relevant",D28&lt;&gt;"Not relevant",D28&lt;&gt;"Unjudged"),"Invalid judgement",IF(AND(F28="Yes",D28="Not relevant"),"Seed marked not relevant",IF(AND(G28="",H28="",F28&lt;&gt;"Yes"),"Absent record must be a seed","OK"))))))))))))</x:f>
      </x:c>
      <x:c r="J28" s="11" t="n">
        <x:f>IF(AND(ISNUMBER(G28),G28&gt;=1,G28&lt;=Comparison!$B$4),1,0)</x:f>
        <x:v>0</x:v>
      </x:c>
      <x:c r="K28" s="11" t="n">
        <x:f>IF(AND(ISNUMBER(H28),H28&gt;=1,H28&lt;=Comparison!$B$4),1,0)</x:f>
        <x:v>0</x:v>
      </x:c>
      <x:c r="L28" s="11" t="n">
        <x:f>IF(AND(J28=1,D28="Relevant"),1,0)</x:f>
        <x:v>0</x:v>
      </x:c>
      <x:c r="M28" s="11" t="n">
        <x:f>IF(AND(K28=1,D28="Relevant"),1,0)</x:f>
        <x:v>0</x:v>
      </x:c>
      <x:c r="N28" s="11" t="n">
        <x:f>IF(AND(OR(J28=1,K28=1),D28&lt;&gt;"Relevant",D28&lt;&gt;"Not relevant"),1,0)</x:f>
        <x:v>0</x:v>
      </x:c>
      <x:c r="O28" s="11" t="n">
        <x:f>IF(AND(J28=1,F28="Yes"),1,0)</x:f>
        <x:v>0</x:v>
      </x:c>
      <x:c r="P28" s="11" t="n">
        <x:f>IF(AND(K28=1,F28="Yes"),1,0)</x:f>
        <x:v>0</x:v>
      </x:c>
      <x:c r="Q28" s="11" t="n">
        <x:f>IF(F28="Yes",1,0)</x:f>
        <x:v>0</x:v>
      </x:c>
    </x:row>
    <x:row r="29" ht="48" customHeight="1">
      <x:c r="A29" s="15"/>
      <x:c r="B29" s="15"/>
      <x:c r="C29" s="12"/>
      <x:c r="D29" s="12"/>
      <x:c r="E29" s="12"/>
      <x:c r="F29" s="10"/>
      <x:c r="G29" s="10"/>
      <x:c r="H29" s="10"/>
      <x:c r="I29" s="11" t="str">
        <x:f>IF(COUNTA(A29:H29)=0,"",IF(A29="","Missing query ID",IF(COUNTIFS(QueryData[Query ID],"="&amp;SUBSTITUTE(SUBSTITUTE(SUBSTITUTE(A29,"~","~~"),"*","~*"),"?","~?"))=0,"Unknown query ID",IF(B29="","Missing record ID",IF(OR(OR(NOT(ISTEXT(A29)),TRIM(A29)&lt;&gt;A29),OR(NOT(ISTEXT(B29)),TRIM(B29)&lt;&gt;B29)),"IDs must be text without outer spaces",IF(COUNTIFS(RecordData[Query ID],"="&amp;SUBSTITUTE(SUBSTITUTE(SUBSTITUTE(A29,"~","~~"),"*","~*"),"?","~?"),RecordData[Record ID],"="&amp;SUBSTITUTE(SUBSTITUTE(SUBSTITUTE(B29,"~","~~"),"*","~*"),"?","~?"))&gt;1,"Duplicate record ID",IF(OR(IF(G29="",FALSE,IF(ISNUMBER(G29),OR(G29&lt;1,G29&lt;&gt;INT(G29)),TRUE)),IF(H29="",FALSE,IF(ISNUMBER(H29),OR(H29&lt;1,H29&lt;&gt;INT(H29)),TRUE))),"Invalid rank",IF(OR(IF(G29="",FALSE,COUNTIFS(RecordData[Query ID],"="&amp;SUBSTITUTE(SUBSTITUTE(SUBSTITUTE(A29,"~","~~"),"*","~*"),"?","~?"),RecordData[Rank A],G29)&gt;1),IF(H29="",FALSE,COUNTIFS(RecordData[Query ID],"="&amp;SUBSTITUTE(SUBSTITUTE(SUBSTITUTE(A29,"~","~~"),"*","~*"),"?","~?"),RecordData[Rank B],H29)&gt;1)),"Duplicate rank",IF(AND(F29&lt;&gt;"",F29&lt;&gt;"Yes",F29&lt;&gt;"No"),"Invalid seed flag",IF(AND(D29&lt;&gt;"",D29&lt;&gt;"Relevant",D29&lt;&gt;"Not relevant",D29&lt;&gt;"Unjudged"),"Invalid judgement",IF(AND(F29="Yes",D29="Not relevant"),"Seed marked not relevant",IF(AND(G29="",H29="",F29&lt;&gt;"Yes"),"Absent record must be a seed","OK"))))))))))))</x:f>
      </x:c>
      <x:c r="J29" s="11" t="n">
        <x:f>IF(AND(ISNUMBER(G29),G29&gt;=1,G29&lt;=Comparison!$B$4),1,0)</x:f>
        <x:v>0</x:v>
      </x:c>
      <x:c r="K29" s="11" t="n">
        <x:f>IF(AND(ISNUMBER(H29),H29&gt;=1,H29&lt;=Comparison!$B$4),1,0)</x:f>
        <x:v>0</x:v>
      </x:c>
      <x:c r="L29" s="11" t="n">
        <x:f>IF(AND(J29=1,D29="Relevant"),1,0)</x:f>
        <x:v>0</x:v>
      </x:c>
      <x:c r="M29" s="11" t="n">
        <x:f>IF(AND(K29=1,D29="Relevant"),1,0)</x:f>
        <x:v>0</x:v>
      </x:c>
      <x:c r="N29" s="11" t="n">
        <x:f>IF(AND(OR(J29=1,K29=1),D29&lt;&gt;"Relevant",D29&lt;&gt;"Not relevant"),1,0)</x:f>
        <x:v>0</x:v>
      </x:c>
      <x:c r="O29" s="11" t="n">
        <x:f>IF(AND(J29=1,F29="Yes"),1,0)</x:f>
        <x:v>0</x:v>
      </x:c>
      <x:c r="P29" s="11" t="n">
        <x:f>IF(AND(K29=1,F29="Yes"),1,0)</x:f>
        <x:v>0</x:v>
      </x:c>
      <x:c r="Q29" s="11" t="n">
        <x:f>IF(F29="Yes",1,0)</x:f>
        <x:v>0</x:v>
      </x:c>
    </x:row>
    <x:row r="30" ht="48" customHeight="1">
      <x:c r="A30" s="15"/>
      <x:c r="B30" s="15"/>
      <x:c r="C30" s="12"/>
      <x:c r="D30" s="12"/>
      <x:c r="E30" s="12"/>
      <x:c r="F30" s="10"/>
      <x:c r="G30" s="10"/>
      <x:c r="H30" s="10"/>
      <x:c r="I30" s="11" t="str">
        <x:f>IF(COUNTA(A30:H30)=0,"",IF(A30="","Missing query ID",IF(COUNTIFS(QueryData[Query ID],"="&amp;SUBSTITUTE(SUBSTITUTE(SUBSTITUTE(A30,"~","~~"),"*","~*"),"?","~?"))=0,"Unknown query ID",IF(B30="","Missing record ID",IF(OR(OR(NOT(ISTEXT(A30)),TRIM(A30)&lt;&gt;A30),OR(NOT(ISTEXT(B30)),TRIM(B30)&lt;&gt;B30)),"IDs must be text without outer spaces",IF(COUNTIFS(RecordData[Query ID],"="&amp;SUBSTITUTE(SUBSTITUTE(SUBSTITUTE(A30,"~","~~"),"*","~*"),"?","~?"),RecordData[Record ID],"="&amp;SUBSTITUTE(SUBSTITUTE(SUBSTITUTE(B30,"~","~~"),"*","~*"),"?","~?"))&gt;1,"Duplicate record ID",IF(OR(IF(G30="",FALSE,IF(ISNUMBER(G30),OR(G30&lt;1,G30&lt;&gt;INT(G30)),TRUE)),IF(H30="",FALSE,IF(ISNUMBER(H30),OR(H30&lt;1,H30&lt;&gt;INT(H30)),TRUE))),"Invalid rank",IF(OR(IF(G30="",FALSE,COUNTIFS(RecordData[Query ID],"="&amp;SUBSTITUTE(SUBSTITUTE(SUBSTITUTE(A30,"~","~~"),"*","~*"),"?","~?"),RecordData[Rank A],G30)&gt;1),IF(H30="",FALSE,COUNTIFS(RecordData[Query ID],"="&amp;SUBSTITUTE(SUBSTITUTE(SUBSTITUTE(A30,"~","~~"),"*","~*"),"?","~?"),RecordData[Rank B],H30)&gt;1)),"Duplicate rank",IF(AND(F30&lt;&gt;"",F30&lt;&gt;"Yes",F30&lt;&gt;"No"),"Invalid seed flag",IF(AND(D30&lt;&gt;"",D30&lt;&gt;"Relevant",D30&lt;&gt;"Not relevant",D30&lt;&gt;"Unjudged"),"Invalid judgement",IF(AND(F30="Yes",D30="Not relevant"),"Seed marked not relevant",IF(AND(G30="",H30="",F30&lt;&gt;"Yes"),"Absent record must be a seed","OK"))))))))))))</x:f>
      </x:c>
      <x:c r="J30" s="11" t="n">
        <x:f>IF(AND(ISNUMBER(G30),G30&gt;=1,G30&lt;=Comparison!$B$4),1,0)</x:f>
        <x:v>0</x:v>
      </x:c>
      <x:c r="K30" s="11" t="n">
        <x:f>IF(AND(ISNUMBER(H30),H30&gt;=1,H30&lt;=Comparison!$B$4),1,0)</x:f>
        <x:v>0</x:v>
      </x:c>
      <x:c r="L30" s="11" t="n">
        <x:f>IF(AND(J30=1,D30="Relevant"),1,0)</x:f>
        <x:v>0</x:v>
      </x:c>
      <x:c r="M30" s="11" t="n">
        <x:f>IF(AND(K30=1,D30="Relevant"),1,0)</x:f>
        <x:v>0</x:v>
      </x:c>
      <x:c r="N30" s="11" t="n">
        <x:f>IF(AND(OR(J30=1,K30=1),D30&lt;&gt;"Relevant",D30&lt;&gt;"Not relevant"),1,0)</x:f>
        <x:v>0</x:v>
      </x:c>
      <x:c r="O30" s="11" t="n">
        <x:f>IF(AND(J30=1,F30="Yes"),1,0)</x:f>
        <x:v>0</x:v>
      </x:c>
      <x:c r="P30" s="11" t="n">
        <x:f>IF(AND(K30=1,F30="Yes"),1,0)</x:f>
        <x:v>0</x:v>
      </x:c>
      <x:c r="Q30" s="11" t="n">
        <x:f>IF(F30="Yes",1,0)</x:f>
        <x:v>0</x:v>
      </x:c>
    </x:row>
    <x:row r="31" ht="48" customHeight="1">
      <x:c r="A31" s="15"/>
      <x:c r="B31" s="15"/>
      <x:c r="C31" s="12"/>
      <x:c r="D31" s="12"/>
      <x:c r="E31" s="12"/>
      <x:c r="F31" s="10"/>
      <x:c r="G31" s="10"/>
      <x:c r="H31" s="10"/>
      <x:c r="I31" s="11" t="str">
        <x:f>IF(COUNTA(A31:H31)=0,"",IF(A31="","Missing query ID",IF(COUNTIFS(QueryData[Query ID],"="&amp;SUBSTITUTE(SUBSTITUTE(SUBSTITUTE(A31,"~","~~"),"*","~*"),"?","~?"))=0,"Unknown query ID",IF(B31="","Missing record ID",IF(OR(OR(NOT(ISTEXT(A31)),TRIM(A31)&lt;&gt;A31),OR(NOT(ISTEXT(B31)),TRIM(B31)&lt;&gt;B31)),"IDs must be text without outer spaces",IF(COUNTIFS(RecordData[Query ID],"="&amp;SUBSTITUTE(SUBSTITUTE(SUBSTITUTE(A31,"~","~~"),"*","~*"),"?","~?"),RecordData[Record ID],"="&amp;SUBSTITUTE(SUBSTITUTE(SUBSTITUTE(B31,"~","~~"),"*","~*"),"?","~?"))&gt;1,"Duplicate record ID",IF(OR(IF(G31="",FALSE,IF(ISNUMBER(G31),OR(G31&lt;1,G31&lt;&gt;INT(G31)),TRUE)),IF(H31="",FALSE,IF(ISNUMBER(H31),OR(H31&lt;1,H31&lt;&gt;INT(H31)),TRUE))),"Invalid rank",IF(OR(IF(G31="",FALSE,COUNTIFS(RecordData[Query ID],"="&amp;SUBSTITUTE(SUBSTITUTE(SUBSTITUTE(A31,"~","~~"),"*","~*"),"?","~?"),RecordData[Rank A],G31)&gt;1),IF(H31="",FALSE,COUNTIFS(RecordData[Query ID],"="&amp;SUBSTITUTE(SUBSTITUTE(SUBSTITUTE(A31,"~","~~"),"*","~*"),"?","~?"),RecordData[Rank B],H31)&gt;1)),"Duplicate rank",IF(AND(F31&lt;&gt;"",F31&lt;&gt;"Yes",F31&lt;&gt;"No"),"Invalid seed flag",IF(AND(D31&lt;&gt;"",D31&lt;&gt;"Relevant",D31&lt;&gt;"Not relevant",D31&lt;&gt;"Unjudged"),"Invalid judgement",IF(AND(F31="Yes",D31="Not relevant"),"Seed marked not relevant",IF(AND(G31="",H31="",F31&lt;&gt;"Yes"),"Absent record must be a seed","OK"))))))))))))</x:f>
      </x:c>
      <x:c r="J31" s="11" t="n">
        <x:f>IF(AND(ISNUMBER(G31),G31&gt;=1,G31&lt;=Comparison!$B$4),1,0)</x:f>
        <x:v>0</x:v>
      </x:c>
      <x:c r="K31" s="11" t="n">
        <x:f>IF(AND(ISNUMBER(H31),H31&gt;=1,H31&lt;=Comparison!$B$4),1,0)</x:f>
        <x:v>0</x:v>
      </x:c>
      <x:c r="L31" s="11" t="n">
        <x:f>IF(AND(J31=1,D31="Relevant"),1,0)</x:f>
        <x:v>0</x:v>
      </x:c>
      <x:c r="M31" s="11" t="n">
        <x:f>IF(AND(K31=1,D31="Relevant"),1,0)</x:f>
        <x:v>0</x:v>
      </x:c>
      <x:c r="N31" s="11" t="n">
        <x:f>IF(AND(OR(J31=1,K31=1),D31&lt;&gt;"Relevant",D31&lt;&gt;"Not relevant"),1,0)</x:f>
        <x:v>0</x:v>
      </x:c>
      <x:c r="O31" s="11" t="n">
        <x:f>IF(AND(J31=1,F31="Yes"),1,0)</x:f>
        <x:v>0</x:v>
      </x:c>
      <x:c r="P31" s="11" t="n">
        <x:f>IF(AND(K31=1,F31="Yes"),1,0)</x:f>
        <x:v>0</x:v>
      </x:c>
      <x:c r="Q31" s="11" t="n">
        <x:f>IF(F31="Yes",1,0)</x:f>
        <x:v>0</x:v>
      </x:c>
    </x:row>
    <x:row r="32" ht="48" customHeight="1">
      <x:c r="A32" s="15"/>
      <x:c r="B32" s="15"/>
      <x:c r="C32" s="12"/>
      <x:c r="D32" s="12"/>
      <x:c r="E32" s="12"/>
      <x:c r="F32" s="10"/>
      <x:c r="G32" s="10"/>
      <x:c r="H32" s="10"/>
      <x:c r="I32" s="11" t="str">
        <x:f>IF(COUNTA(A32:H32)=0,"",IF(A32="","Missing query ID",IF(COUNTIFS(QueryData[Query ID],"="&amp;SUBSTITUTE(SUBSTITUTE(SUBSTITUTE(A32,"~","~~"),"*","~*"),"?","~?"))=0,"Unknown query ID",IF(B32="","Missing record ID",IF(OR(OR(NOT(ISTEXT(A32)),TRIM(A32)&lt;&gt;A32),OR(NOT(ISTEXT(B32)),TRIM(B32)&lt;&gt;B32)),"IDs must be text without outer spaces",IF(COUNTIFS(RecordData[Query ID],"="&amp;SUBSTITUTE(SUBSTITUTE(SUBSTITUTE(A32,"~","~~"),"*","~*"),"?","~?"),RecordData[Record ID],"="&amp;SUBSTITUTE(SUBSTITUTE(SUBSTITUTE(B32,"~","~~"),"*","~*"),"?","~?"))&gt;1,"Duplicate record ID",IF(OR(IF(G32="",FALSE,IF(ISNUMBER(G32),OR(G32&lt;1,G32&lt;&gt;INT(G32)),TRUE)),IF(H32="",FALSE,IF(ISNUMBER(H32),OR(H32&lt;1,H32&lt;&gt;INT(H32)),TRUE))),"Invalid rank",IF(OR(IF(G32="",FALSE,COUNTIFS(RecordData[Query ID],"="&amp;SUBSTITUTE(SUBSTITUTE(SUBSTITUTE(A32,"~","~~"),"*","~*"),"?","~?"),RecordData[Rank A],G32)&gt;1),IF(H32="",FALSE,COUNTIFS(RecordData[Query ID],"="&amp;SUBSTITUTE(SUBSTITUTE(SUBSTITUTE(A32,"~","~~"),"*","~*"),"?","~?"),RecordData[Rank B],H32)&gt;1)),"Duplicate rank",IF(AND(F32&lt;&gt;"",F32&lt;&gt;"Yes",F32&lt;&gt;"No"),"Invalid seed flag",IF(AND(D32&lt;&gt;"",D32&lt;&gt;"Relevant",D32&lt;&gt;"Not relevant",D32&lt;&gt;"Unjudged"),"Invalid judgement",IF(AND(F32="Yes",D32="Not relevant"),"Seed marked not relevant",IF(AND(G32="",H32="",F32&lt;&gt;"Yes"),"Absent record must be a seed","OK"))))))))))))</x:f>
      </x:c>
      <x:c r="J32" s="11" t="n">
        <x:f>IF(AND(ISNUMBER(G32),G32&gt;=1,G32&lt;=Comparison!$B$4),1,0)</x:f>
        <x:v>0</x:v>
      </x:c>
      <x:c r="K32" s="11" t="n">
        <x:f>IF(AND(ISNUMBER(H32),H32&gt;=1,H32&lt;=Comparison!$B$4),1,0)</x:f>
        <x:v>0</x:v>
      </x:c>
      <x:c r="L32" s="11" t="n">
        <x:f>IF(AND(J32=1,D32="Relevant"),1,0)</x:f>
        <x:v>0</x:v>
      </x:c>
      <x:c r="M32" s="11" t="n">
        <x:f>IF(AND(K32=1,D32="Relevant"),1,0)</x:f>
        <x:v>0</x:v>
      </x:c>
      <x:c r="N32" s="11" t="n">
        <x:f>IF(AND(OR(J32=1,K32=1),D32&lt;&gt;"Relevant",D32&lt;&gt;"Not relevant"),1,0)</x:f>
        <x:v>0</x:v>
      </x:c>
      <x:c r="O32" s="11" t="n">
        <x:f>IF(AND(J32=1,F32="Yes"),1,0)</x:f>
        <x:v>0</x:v>
      </x:c>
      <x:c r="P32" s="11" t="n">
        <x:f>IF(AND(K32=1,F32="Yes"),1,0)</x:f>
        <x:v>0</x:v>
      </x:c>
      <x:c r="Q32" s="11" t="n">
        <x:f>IF(F32="Yes",1,0)</x:f>
        <x:v>0</x:v>
      </x:c>
    </x:row>
    <x:row r="33" ht="48" customHeight="1">
      <x:c r="A33" s="15"/>
      <x:c r="B33" s="15"/>
      <x:c r="C33" s="12"/>
      <x:c r="D33" s="12"/>
      <x:c r="E33" s="12"/>
      <x:c r="F33" s="10"/>
      <x:c r="G33" s="10"/>
      <x:c r="H33" s="10"/>
      <x:c r="I33" s="11" t="str">
        <x:f>IF(COUNTA(A33:H33)=0,"",IF(A33="","Missing query ID",IF(COUNTIFS(QueryData[Query ID],"="&amp;SUBSTITUTE(SUBSTITUTE(SUBSTITUTE(A33,"~","~~"),"*","~*"),"?","~?"))=0,"Unknown query ID",IF(B33="","Missing record ID",IF(OR(OR(NOT(ISTEXT(A33)),TRIM(A33)&lt;&gt;A33),OR(NOT(ISTEXT(B33)),TRIM(B33)&lt;&gt;B33)),"IDs must be text without outer spaces",IF(COUNTIFS(RecordData[Query ID],"="&amp;SUBSTITUTE(SUBSTITUTE(SUBSTITUTE(A33,"~","~~"),"*","~*"),"?","~?"),RecordData[Record ID],"="&amp;SUBSTITUTE(SUBSTITUTE(SUBSTITUTE(B33,"~","~~"),"*","~*"),"?","~?"))&gt;1,"Duplicate record ID",IF(OR(IF(G33="",FALSE,IF(ISNUMBER(G33),OR(G33&lt;1,G33&lt;&gt;INT(G33)),TRUE)),IF(H33="",FALSE,IF(ISNUMBER(H33),OR(H33&lt;1,H33&lt;&gt;INT(H33)),TRUE))),"Invalid rank",IF(OR(IF(G33="",FALSE,COUNTIFS(RecordData[Query ID],"="&amp;SUBSTITUTE(SUBSTITUTE(SUBSTITUTE(A33,"~","~~"),"*","~*"),"?","~?"),RecordData[Rank A],G33)&gt;1),IF(H33="",FALSE,COUNTIFS(RecordData[Query ID],"="&amp;SUBSTITUTE(SUBSTITUTE(SUBSTITUTE(A33,"~","~~"),"*","~*"),"?","~?"),RecordData[Rank B],H33)&gt;1)),"Duplicate rank",IF(AND(F33&lt;&gt;"",F33&lt;&gt;"Yes",F33&lt;&gt;"No"),"Invalid seed flag",IF(AND(D33&lt;&gt;"",D33&lt;&gt;"Relevant",D33&lt;&gt;"Not relevant",D33&lt;&gt;"Unjudged"),"Invalid judgement",IF(AND(F33="Yes",D33="Not relevant"),"Seed marked not relevant",IF(AND(G33="",H33="",F33&lt;&gt;"Yes"),"Absent record must be a seed","OK"))))))))))))</x:f>
      </x:c>
      <x:c r="J33" s="11" t="n">
        <x:f>IF(AND(ISNUMBER(G33),G33&gt;=1,G33&lt;=Comparison!$B$4),1,0)</x:f>
        <x:v>0</x:v>
      </x:c>
      <x:c r="K33" s="11" t="n">
        <x:f>IF(AND(ISNUMBER(H33),H33&gt;=1,H33&lt;=Comparison!$B$4),1,0)</x:f>
        <x:v>0</x:v>
      </x:c>
      <x:c r="L33" s="11" t="n">
        <x:f>IF(AND(J33=1,D33="Relevant"),1,0)</x:f>
        <x:v>0</x:v>
      </x:c>
      <x:c r="M33" s="11" t="n">
        <x:f>IF(AND(K33=1,D33="Relevant"),1,0)</x:f>
        <x:v>0</x:v>
      </x:c>
      <x:c r="N33" s="11" t="n">
        <x:f>IF(AND(OR(J33=1,K33=1),D33&lt;&gt;"Relevant",D33&lt;&gt;"Not relevant"),1,0)</x:f>
        <x:v>0</x:v>
      </x:c>
      <x:c r="O33" s="11" t="n">
        <x:f>IF(AND(J33=1,F33="Yes"),1,0)</x:f>
        <x:v>0</x:v>
      </x:c>
      <x:c r="P33" s="11" t="n">
        <x:f>IF(AND(K33=1,F33="Yes"),1,0)</x:f>
        <x:v>0</x:v>
      </x:c>
      <x:c r="Q33" s="11" t="n">
        <x:f>IF(F33="Yes",1,0)</x:f>
        <x:v>0</x:v>
      </x:c>
    </x:row>
    <x:row r="34" ht="48" customHeight="1">
      <x:c r="A34" s="15"/>
      <x:c r="B34" s="15"/>
      <x:c r="C34" s="12"/>
      <x:c r="D34" s="12"/>
      <x:c r="E34" s="12"/>
      <x:c r="F34" s="10"/>
      <x:c r="G34" s="10"/>
      <x:c r="H34" s="10"/>
      <x:c r="I34" s="11" t="str">
        <x:f>IF(COUNTA(A34:H34)=0,"",IF(A34="","Missing query ID",IF(COUNTIFS(QueryData[Query ID],"="&amp;SUBSTITUTE(SUBSTITUTE(SUBSTITUTE(A34,"~","~~"),"*","~*"),"?","~?"))=0,"Unknown query ID",IF(B34="","Missing record ID",IF(OR(OR(NOT(ISTEXT(A34)),TRIM(A34)&lt;&gt;A34),OR(NOT(ISTEXT(B34)),TRIM(B34)&lt;&gt;B34)),"IDs must be text without outer spaces",IF(COUNTIFS(RecordData[Query ID],"="&amp;SUBSTITUTE(SUBSTITUTE(SUBSTITUTE(A34,"~","~~"),"*","~*"),"?","~?"),RecordData[Record ID],"="&amp;SUBSTITUTE(SUBSTITUTE(SUBSTITUTE(B34,"~","~~"),"*","~*"),"?","~?"))&gt;1,"Duplicate record ID",IF(OR(IF(G34="",FALSE,IF(ISNUMBER(G34),OR(G34&lt;1,G34&lt;&gt;INT(G34)),TRUE)),IF(H34="",FALSE,IF(ISNUMBER(H34),OR(H34&lt;1,H34&lt;&gt;INT(H34)),TRUE))),"Invalid rank",IF(OR(IF(G34="",FALSE,COUNTIFS(RecordData[Query ID],"="&amp;SUBSTITUTE(SUBSTITUTE(SUBSTITUTE(A34,"~","~~"),"*","~*"),"?","~?"),RecordData[Rank A],G34)&gt;1),IF(H34="",FALSE,COUNTIFS(RecordData[Query ID],"="&amp;SUBSTITUTE(SUBSTITUTE(SUBSTITUTE(A34,"~","~~"),"*","~*"),"?","~?"),RecordData[Rank B],H34)&gt;1)),"Duplicate rank",IF(AND(F34&lt;&gt;"",F34&lt;&gt;"Yes",F34&lt;&gt;"No"),"Invalid seed flag",IF(AND(D34&lt;&gt;"",D34&lt;&gt;"Relevant",D34&lt;&gt;"Not relevant",D34&lt;&gt;"Unjudged"),"Invalid judgement",IF(AND(F34="Yes",D34="Not relevant"),"Seed marked not relevant",IF(AND(G34="",H34="",F34&lt;&gt;"Yes"),"Absent record must be a seed","OK"))))))))))))</x:f>
      </x:c>
      <x:c r="J34" s="11" t="n">
        <x:f>IF(AND(ISNUMBER(G34),G34&gt;=1,G34&lt;=Comparison!$B$4),1,0)</x:f>
        <x:v>0</x:v>
      </x:c>
      <x:c r="K34" s="11" t="n">
        <x:f>IF(AND(ISNUMBER(H34),H34&gt;=1,H34&lt;=Comparison!$B$4),1,0)</x:f>
        <x:v>0</x:v>
      </x:c>
      <x:c r="L34" s="11" t="n">
        <x:f>IF(AND(J34=1,D34="Relevant"),1,0)</x:f>
        <x:v>0</x:v>
      </x:c>
      <x:c r="M34" s="11" t="n">
        <x:f>IF(AND(K34=1,D34="Relevant"),1,0)</x:f>
        <x:v>0</x:v>
      </x:c>
      <x:c r="N34" s="11" t="n">
        <x:f>IF(AND(OR(J34=1,K34=1),D34&lt;&gt;"Relevant",D34&lt;&gt;"Not relevant"),1,0)</x:f>
        <x:v>0</x:v>
      </x:c>
      <x:c r="O34" s="11" t="n">
        <x:f>IF(AND(J34=1,F34="Yes"),1,0)</x:f>
        <x:v>0</x:v>
      </x:c>
      <x:c r="P34" s="11" t="n">
        <x:f>IF(AND(K34=1,F34="Yes"),1,0)</x:f>
        <x:v>0</x:v>
      </x:c>
      <x:c r="Q34" s="11" t="n">
        <x:f>IF(F34="Yes",1,0)</x:f>
        <x:v>0</x:v>
      </x:c>
    </x:row>
    <x:row r="35" ht="48" customHeight="1">
      <x:c r="A35" s="15"/>
      <x:c r="B35" s="15"/>
      <x:c r="C35" s="12"/>
      <x:c r="D35" s="12"/>
      <x:c r="E35" s="12"/>
      <x:c r="F35" s="10"/>
      <x:c r="G35" s="10"/>
      <x:c r="H35" s="10"/>
      <x:c r="I35" s="11" t="str">
        <x:f>IF(COUNTA(A35:H35)=0,"",IF(A35="","Missing query ID",IF(COUNTIFS(QueryData[Query ID],"="&amp;SUBSTITUTE(SUBSTITUTE(SUBSTITUTE(A35,"~","~~"),"*","~*"),"?","~?"))=0,"Unknown query ID",IF(B35="","Missing record ID",IF(OR(OR(NOT(ISTEXT(A35)),TRIM(A35)&lt;&gt;A35),OR(NOT(ISTEXT(B35)),TRIM(B35)&lt;&gt;B35)),"IDs must be text without outer spaces",IF(COUNTIFS(RecordData[Query ID],"="&amp;SUBSTITUTE(SUBSTITUTE(SUBSTITUTE(A35,"~","~~"),"*","~*"),"?","~?"),RecordData[Record ID],"="&amp;SUBSTITUTE(SUBSTITUTE(SUBSTITUTE(B35,"~","~~"),"*","~*"),"?","~?"))&gt;1,"Duplicate record ID",IF(OR(IF(G35="",FALSE,IF(ISNUMBER(G35),OR(G35&lt;1,G35&lt;&gt;INT(G35)),TRUE)),IF(H35="",FALSE,IF(ISNUMBER(H35),OR(H35&lt;1,H35&lt;&gt;INT(H35)),TRUE))),"Invalid rank",IF(OR(IF(G35="",FALSE,COUNTIFS(RecordData[Query ID],"="&amp;SUBSTITUTE(SUBSTITUTE(SUBSTITUTE(A35,"~","~~"),"*","~*"),"?","~?"),RecordData[Rank A],G35)&gt;1),IF(H35="",FALSE,COUNTIFS(RecordData[Query ID],"="&amp;SUBSTITUTE(SUBSTITUTE(SUBSTITUTE(A35,"~","~~"),"*","~*"),"?","~?"),RecordData[Rank B],H35)&gt;1)),"Duplicate rank",IF(AND(F35&lt;&gt;"",F35&lt;&gt;"Yes",F35&lt;&gt;"No"),"Invalid seed flag",IF(AND(D35&lt;&gt;"",D35&lt;&gt;"Relevant",D35&lt;&gt;"Not relevant",D35&lt;&gt;"Unjudged"),"Invalid judgement",IF(AND(F35="Yes",D35="Not relevant"),"Seed marked not relevant",IF(AND(G35="",H35="",F35&lt;&gt;"Yes"),"Absent record must be a seed","OK"))))))))))))</x:f>
      </x:c>
      <x:c r="J35" s="11" t="n">
        <x:f>IF(AND(ISNUMBER(G35),G35&gt;=1,G35&lt;=Comparison!$B$4),1,0)</x:f>
        <x:v>0</x:v>
      </x:c>
      <x:c r="K35" s="11" t="n">
        <x:f>IF(AND(ISNUMBER(H35),H35&gt;=1,H35&lt;=Comparison!$B$4),1,0)</x:f>
        <x:v>0</x:v>
      </x:c>
      <x:c r="L35" s="11" t="n">
        <x:f>IF(AND(J35=1,D35="Relevant"),1,0)</x:f>
        <x:v>0</x:v>
      </x:c>
      <x:c r="M35" s="11" t="n">
        <x:f>IF(AND(K35=1,D35="Relevant"),1,0)</x:f>
        <x:v>0</x:v>
      </x:c>
      <x:c r="N35" s="11" t="n">
        <x:f>IF(AND(OR(J35=1,K35=1),D35&lt;&gt;"Relevant",D35&lt;&gt;"Not relevant"),1,0)</x:f>
        <x:v>0</x:v>
      </x:c>
      <x:c r="O35" s="11" t="n">
        <x:f>IF(AND(J35=1,F35="Yes"),1,0)</x:f>
        <x:v>0</x:v>
      </x:c>
      <x:c r="P35" s="11" t="n">
        <x:f>IF(AND(K35=1,F35="Yes"),1,0)</x:f>
        <x:v>0</x:v>
      </x:c>
      <x:c r="Q35" s="11" t="n">
        <x:f>IF(F35="Yes",1,0)</x:f>
        <x:v>0</x:v>
      </x:c>
    </x:row>
    <x:row r="36" ht="48" customHeight="1">
      <x:c r="A36" s="15"/>
      <x:c r="B36" s="15"/>
      <x:c r="C36" s="12"/>
      <x:c r="D36" s="12"/>
      <x:c r="E36" s="12"/>
      <x:c r="F36" s="10"/>
      <x:c r="G36" s="10"/>
      <x:c r="H36" s="10"/>
      <x:c r="I36" s="11" t="str">
        <x:f>IF(COUNTA(A36:H36)=0,"",IF(A36="","Missing query ID",IF(COUNTIFS(QueryData[Query ID],"="&amp;SUBSTITUTE(SUBSTITUTE(SUBSTITUTE(A36,"~","~~"),"*","~*"),"?","~?"))=0,"Unknown query ID",IF(B36="","Missing record ID",IF(OR(OR(NOT(ISTEXT(A36)),TRIM(A36)&lt;&gt;A36),OR(NOT(ISTEXT(B36)),TRIM(B36)&lt;&gt;B36)),"IDs must be text without outer spaces",IF(COUNTIFS(RecordData[Query ID],"="&amp;SUBSTITUTE(SUBSTITUTE(SUBSTITUTE(A36,"~","~~"),"*","~*"),"?","~?"),RecordData[Record ID],"="&amp;SUBSTITUTE(SUBSTITUTE(SUBSTITUTE(B36,"~","~~"),"*","~*"),"?","~?"))&gt;1,"Duplicate record ID",IF(OR(IF(G36="",FALSE,IF(ISNUMBER(G36),OR(G36&lt;1,G36&lt;&gt;INT(G36)),TRUE)),IF(H36="",FALSE,IF(ISNUMBER(H36),OR(H36&lt;1,H36&lt;&gt;INT(H36)),TRUE))),"Invalid rank",IF(OR(IF(G36="",FALSE,COUNTIFS(RecordData[Query ID],"="&amp;SUBSTITUTE(SUBSTITUTE(SUBSTITUTE(A36,"~","~~"),"*","~*"),"?","~?"),RecordData[Rank A],G36)&gt;1),IF(H36="",FALSE,COUNTIFS(RecordData[Query ID],"="&amp;SUBSTITUTE(SUBSTITUTE(SUBSTITUTE(A36,"~","~~"),"*","~*"),"?","~?"),RecordData[Rank B],H36)&gt;1)),"Duplicate rank",IF(AND(F36&lt;&gt;"",F36&lt;&gt;"Yes",F36&lt;&gt;"No"),"Invalid seed flag",IF(AND(D36&lt;&gt;"",D36&lt;&gt;"Relevant",D36&lt;&gt;"Not relevant",D36&lt;&gt;"Unjudged"),"Invalid judgement",IF(AND(F36="Yes",D36="Not relevant"),"Seed marked not relevant",IF(AND(G36="",H36="",F36&lt;&gt;"Yes"),"Absent record must be a seed","OK"))))))))))))</x:f>
      </x:c>
      <x:c r="J36" s="11" t="n">
        <x:f>IF(AND(ISNUMBER(G36),G36&gt;=1,G36&lt;=Comparison!$B$4),1,0)</x:f>
        <x:v>0</x:v>
      </x:c>
      <x:c r="K36" s="11" t="n">
        <x:f>IF(AND(ISNUMBER(H36),H36&gt;=1,H36&lt;=Comparison!$B$4),1,0)</x:f>
        <x:v>0</x:v>
      </x:c>
      <x:c r="L36" s="11" t="n">
        <x:f>IF(AND(J36=1,D36="Relevant"),1,0)</x:f>
        <x:v>0</x:v>
      </x:c>
      <x:c r="M36" s="11" t="n">
        <x:f>IF(AND(K36=1,D36="Relevant"),1,0)</x:f>
        <x:v>0</x:v>
      </x:c>
      <x:c r="N36" s="11" t="n">
        <x:f>IF(AND(OR(J36=1,K36=1),D36&lt;&gt;"Relevant",D36&lt;&gt;"Not relevant"),1,0)</x:f>
        <x:v>0</x:v>
      </x:c>
      <x:c r="O36" s="11" t="n">
        <x:f>IF(AND(J36=1,F36="Yes"),1,0)</x:f>
        <x:v>0</x:v>
      </x:c>
      <x:c r="P36" s="11" t="n">
        <x:f>IF(AND(K36=1,F36="Yes"),1,0)</x:f>
        <x:v>0</x:v>
      </x:c>
      <x:c r="Q36" s="11" t="n">
        <x:f>IF(F36="Yes",1,0)</x:f>
        <x:v>0</x:v>
      </x:c>
    </x:row>
    <x:row r="37" ht="48" customHeight="1">
      <x:c r="A37" s="15"/>
      <x:c r="B37" s="15"/>
      <x:c r="C37" s="12"/>
      <x:c r="D37" s="12"/>
      <x:c r="E37" s="12"/>
      <x:c r="F37" s="10"/>
      <x:c r="G37" s="10"/>
      <x:c r="H37" s="10"/>
      <x:c r="I37" s="11" t="str">
        <x:f>IF(COUNTA(A37:H37)=0,"",IF(A37="","Missing query ID",IF(COUNTIFS(QueryData[Query ID],"="&amp;SUBSTITUTE(SUBSTITUTE(SUBSTITUTE(A37,"~","~~"),"*","~*"),"?","~?"))=0,"Unknown query ID",IF(B37="","Missing record ID",IF(OR(OR(NOT(ISTEXT(A37)),TRIM(A37)&lt;&gt;A37),OR(NOT(ISTEXT(B37)),TRIM(B37)&lt;&gt;B37)),"IDs must be text without outer spaces",IF(COUNTIFS(RecordData[Query ID],"="&amp;SUBSTITUTE(SUBSTITUTE(SUBSTITUTE(A37,"~","~~"),"*","~*"),"?","~?"),RecordData[Record ID],"="&amp;SUBSTITUTE(SUBSTITUTE(SUBSTITUTE(B37,"~","~~"),"*","~*"),"?","~?"))&gt;1,"Duplicate record ID",IF(OR(IF(G37="",FALSE,IF(ISNUMBER(G37),OR(G37&lt;1,G37&lt;&gt;INT(G37)),TRUE)),IF(H37="",FALSE,IF(ISNUMBER(H37),OR(H37&lt;1,H37&lt;&gt;INT(H37)),TRUE))),"Invalid rank",IF(OR(IF(G37="",FALSE,COUNTIFS(RecordData[Query ID],"="&amp;SUBSTITUTE(SUBSTITUTE(SUBSTITUTE(A37,"~","~~"),"*","~*"),"?","~?"),RecordData[Rank A],G37)&gt;1),IF(H37="",FALSE,COUNTIFS(RecordData[Query ID],"="&amp;SUBSTITUTE(SUBSTITUTE(SUBSTITUTE(A37,"~","~~"),"*","~*"),"?","~?"),RecordData[Rank B],H37)&gt;1)),"Duplicate rank",IF(AND(F37&lt;&gt;"",F37&lt;&gt;"Yes",F37&lt;&gt;"No"),"Invalid seed flag",IF(AND(D37&lt;&gt;"",D37&lt;&gt;"Relevant",D37&lt;&gt;"Not relevant",D37&lt;&gt;"Unjudged"),"Invalid judgement",IF(AND(F37="Yes",D37="Not relevant"),"Seed marked not relevant",IF(AND(G37="",H37="",F37&lt;&gt;"Yes"),"Absent record must be a seed","OK"))))))))))))</x:f>
      </x:c>
      <x:c r="J37" s="11" t="n">
        <x:f>IF(AND(ISNUMBER(G37),G37&gt;=1,G37&lt;=Comparison!$B$4),1,0)</x:f>
        <x:v>0</x:v>
      </x:c>
      <x:c r="K37" s="11" t="n">
        <x:f>IF(AND(ISNUMBER(H37),H37&gt;=1,H37&lt;=Comparison!$B$4),1,0)</x:f>
        <x:v>0</x:v>
      </x:c>
      <x:c r="L37" s="11" t="n">
        <x:f>IF(AND(J37=1,D37="Relevant"),1,0)</x:f>
        <x:v>0</x:v>
      </x:c>
      <x:c r="M37" s="11" t="n">
        <x:f>IF(AND(K37=1,D37="Relevant"),1,0)</x:f>
        <x:v>0</x:v>
      </x:c>
      <x:c r="N37" s="11" t="n">
        <x:f>IF(AND(OR(J37=1,K37=1),D37&lt;&gt;"Relevant",D37&lt;&gt;"Not relevant"),1,0)</x:f>
        <x:v>0</x:v>
      </x:c>
      <x:c r="O37" s="11" t="n">
        <x:f>IF(AND(J37=1,F37="Yes"),1,0)</x:f>
        <x:v>0</x:v>
      </x:c>
      <x:c r="P37" s="11" t="n">
        <x:f>IF(AND(K37=1,F37="Yes"),1,0)</x:f>
        <x:v>0</x:v>
      </x:c>
      <x:c r="Q37" s="11" t="n">
        <x:f>IF(F37="Yes",1,0)</x:f>
        <x:v>0</x:v>
      </x:c>
    </x:row>
    <x:row r="38" ht="48" customHeight="1">
      <x:c r="A38" s="15"/>
      <x:c r="B38" s="15"/>
      <x:c r="C38" s="12"/>
      <x:c r="D38" s="12"/>
      <x:c r="E38" s="12"/>
      <x:c r="F38" s="10"/>
      <x:c r="G38" s="10"/>
      <x:c r="H38" s="10"/>
      <x:c r="I38" s="11" t="str">
        <x:f>IF(COUNTA(A38:H38)=0,"",IF(A38="","Missing query ID",IF(COUNTIFS(QueryData[Query ID],"="&amp;SUBSTITUTE(SUBSTITUTE(SUBSTITUTE(A38,"~","~~"),"*","~*"),"?","~?"))=0,"Unknown query ID",IF(B38="","Missing record ID",IF(OR(OR(NOT(ISTEXT(A38)),TRIM(A38)&lt;&gt;A38),OR(NOT(ISTEXT(B38)),TRIM(B38)&lt;&gt;B38)),"IDs must be text without outer spaces",IF(COUNTIFS(RecordData[Query ID],"="&amp;SUBSTITUTE(SUBSTITUTE(SUBSTITUTE(A38,"~","~~"),"*","~*"),"?","~?"),RecordData[Record ID],"="&amp;SUBSTITUTE(SUBSTITUTE(SUBSTITUTE(B38,"~","~~"),"*","~*"),"?","~?"))&gt;1,"Duplicate record ID",IF(OR(IF(G38="",FALSE,IF(ISNUMBER(G38),OR(G38&lt;1,G38&lt;&gt;INT(G38)),TRUE)),IF(H38="",FALSE,IF(ISNUMBER(H38),OR(H38&lt;1,H38&lt;&gt;INT(H38)),TRUE))),"Invalid rank",IF(OR(IF(G38="",FALSE,COUNTIFS(RecordData[Query ID],"="&amp;SUBSTITUTE(SUBSTITUTE(SUBSTITUTE(A38,"~","~~"),"*","~*"),"?","~?"),RecordData[Rank A],G38)&gt;1),IF(H38="",FALSE,COUNTIFS(RecordData[Query ID],"="&amp;SUBSTITUTE(SUBSTITUTE(SUBSTITUTE(A38,"~","~~"),"*","~*"),"?","~?"),RecordData[Rank B],H38)&gt;1)),"Duplicate rank",IF(AND(F38&lt;&gt;"",F38&lt;&gt;"Yes",F38&lt;&gt;"No"),"Invalid seed flag",IF(AND(D38&lt;&gt;"",D38&lt;&gt;"Relevant",D38&lt;&gt;"Not relevant",D38&lt;&gt;"Unjudged"),"Invalid judgement",IF(AND(F38="Yes",D38="Not relevant"),"Seed marked not relevant",IF(AND(G38="",H38="",F38&lt;&gt;"Yes"),"Absent record must be a seed","OK"))))))))))))</x:f>
      </x:c>
      <x:c r="J38" s="11" t="n">
        <x:f>IF(AND(ISNUMBER(G38),G38&gt;=1,G38&lt;=Comparison!$B$4),1,0)</x:f>
        <x:v>0</x:v>
      </x:c>
      <x:c r="K38" s="11" t="n">
        <x:f>IF(AND(ISNUMBER(H38),H38&gt;=1,H38&lt;=Comparison!$B$4),1,0)</x:f>
        <x:v>0</x:v>
      </x:c>
      <x:c r="L38" s="11" t="n">
        <x:f>IF(AND(J38=1,D38="Relevant"),1,0)</x:f>
        <x:v>0</x:v>
      </x:c>
      <x:c r="M38" s="11" t="n">
        <x:f>IF(AND(K38=1,D38="Relevant"),1,0)</x:f>
        <x:v>0</x:v>
      </x:c>
      <x:c r="N38" s="11" t="n">
        <x:f>IF(AND(OR(J38=1,K38=1),D38&lt;&gt;"Relevant",D38&lt;&gt;"Not relevant"),1,0)</x:f>
        <x:v>0</x:v>
      </x:c>
      <x:c r="O38" s="11" t="n">
        <x:f>IF(AND(J38=1,F38="Yes"),1,0)</x:f>
        <x:v>0</x:v>
      </x:c>
      <x:c r="P38" s="11" t="n">
        <x:f>IF(AND(K38=1,F38="Yes"),1,0)</x:f>
        <x:v>0</x:v>
      </x:c>
      <x:c r="Q38" s="11" t="n">
        <x:f>IF(F38="Yes",1,0)</x:f>
        <x:v>0</x:v>
      </x:c>
    </x:row>
    <x:row r="39" ht="48" customHeight="1">
      <x:c r="A39" s="15"/>
      <x:c r="B39" s="15"/>
      <x:c r="C39" s="12"/>
      <x:c r="D39" s="12"/>
      <x:c r="E39" s="12"/>
      <x:c r="F39" s="10"/>
      <x:c r="G39" s="10"/>
      <x:c r="H39" s="10"/>
      <x:c r="I39" s="11" t="str">
        <x:f>IF(COUNTA(A39:H39)=0,"",IF(A39="","Missing query ID",IF(COUNTIFS(QueryData[Query ID],"="&amp;SUBSTITUTE(SUBSTITUTE(SUBSTITUTE(A39,"~","~~"),"*","~*"),"?","~?"))=0,"Unknown query ID",IF(B39="","Missing record ID",IF(OR(OR(NOT(ISTEXT(A39)),TRIM(A39)&lt;&gt;A39),OR(NOT(ISTEXT(B39)),TRIM(B39)&lt;&gt;B39)),"IDs must be text without outer spaces",IF(COUNTIFS(RecordData[Query ID],"="&amp;SUBSTITUTE(SUBSTITUTE(SUBSTITUTE(A39,"~","~~"),"*","~*"),"?","~?"),RecordData[Record ID],"="&amp;SUBSTITUTE(SUBSTITUTE(SUBSTITUTE(B39,"~","~~"),"*","~*"),"?","~?"))&gt;1,"Duplicate record ID",IF(OR(IF(G39="",FALSE,IF(ISNUMBER(G39),OR(G39&lt;1,G39&lt;&gt;INT(G39)),TRUE)),IF(H39="",FALSE,IF(ISNUMBER(H39),OR(H39&lt;1,H39&lt;&gt;INT(H39)),TRUE))),"Invalid rank",IF(OR(IF(G39="",FALSE,COUNTIFS(RecordData[Query ID],"="&amp;SUBSTITUTE(SUBSTITUTE(SUBSTITUTE(A39,"~","~~"),"*","~*"),"?","~?"),RecordData[Rank A],G39)&gt;1),IF(H39="",FALSE,COUNTIFS(RecordData[Query ID],"="&amp;SUBSTITUTE(SUBSTITUTE(SUBSTITUTE(A39,"~","~~"),"*","~*"),"?","~?"),RecordData[Rank B],H39)&gt;1)),"Duplicate rank",IF(AND(F39&lt;&gt;"",F39&lt;&gt;"Yes",F39&lt;&gt;"No"),"Invalid seed flag",IF(AND(D39&lt;&gt;"",D39&lt;&gt;"Relevant",D39&lt;&gt;"Not relevant",D39&lt;&gt;"Unjudged"),"Invalid judgement",IF(AND(F39="Yes",D39="Not relevant"),"Seed marked not relevant",IF(AND(G39="",H39="",F39&lt;&gt;"Yes"),"Absent record must be a seed","OK"))))))))))))</x:f>
      </x:c>
      <x:c r="J39" s="11" t="n">
        <x:f>IF(AND(ISNUMBER(G39),G39&gt;=1,G39&lt;=Comparison!$B$4),1,0)</x:f>
        <x:v>0</x:v>
      </x:c>
      <x:c r="K39" s="11" t="n">
        <x:f>IF(AND(ISNUMBER(H39),H39&gt;=1,H39&lt;=Comparison!$B$4),1,0)</x:f>
        <x:v>0</x:v>
      </x:c>
      <x:c r="L39" s="11" t="n">
        <x:f>IF(AND(J39=1,D39="Relevant"),1,0)</x:f>
        <x:v>0</x:v>
      </x:c>
      <x:c r="M39" s="11" t="n">
        <x:f>IF(AND(K39=1,D39="Relevant"),1,0)</x:f>
        <x:v>0</x:v>
      </x:c>
      <x:c r="N39" s="11" t="n">
        <x:f>IF(AND(OR(J39=1,K39=1),D39&lt;&gt;"Relevant",D39&lt;&gt;"Not relevant"),1,0)</x:f>
        <x:v>0</x:v>
      </x:c>
      <x:c r="O39" s="11" t="n">
        <x:f>IF(AND(J39=1,F39="Yes"),1,0)</x:f>
        <x:v>0</x:v>
      </x:c>
      <x:c r="P39" s="11" t="n">
        <x:f>IF(AND(K39=1,F39="Yes"),1,0)</x:f>
        <x:v>0</x:v>
      </x:c>
      <x:c r="Q39" s="11" t="n">
        <x:f>IF(F39="Yes",1,0)</x:f>
        <x:v>0</x:v>
      </x:c>
    </x:row>
    <x:row r="40" ht="48" customHeight="1">
      <x:c r="A40" s="15"/>
      <x:c r="B40" s="15"/>
      <x:c r="C40" s="12"/>
      <x:c r="D40" s="12"/>
      <x:c r="E40" s="12"/>
      <x:c r="F40" s="10"/>
      <x:c r="G40" s="10"/>
      <x:c r="H40" s="10"/>
      <x:c r="I40" s="11" t="str">
        <x:f>IF(COUNTA(A40:H40)=0,"",IF(A40="","Missing query ID",IF(COUNTIFS(QueryData[Query ID],"="&amp;SUBSTITUTE(SUBSTITUTE(SUBSTITUTE(A40,"~","~~"),"*","~*"),"?","~?"))=0,"Unknown query ID",IF(B40="","Missing record ID",IF(OR(OR(NOT(ISTEXT(A40)),TRIM(A40)&lt;&gt;A40),OR(NOT(ISTEXT(B40)),TRIM(B40)&lt;&gt;B40)),"IDs must be text without outer spaces",IF(COUNTIFS(RecordData[Query ID],"="&amp;SUBSTITUTE(SUBSTITUTE(SUBSTITUTE(A40,"~","~~"),"*","~*"),"?","~?"),RecordData[Record ID],"="&amp;SUBSTITUTE(SUBSTITUTE(SUBSTITUTE(B40,"~","~~"),"*","~*"),"?","~?"))&gt;1,"Duplicate record ID",IF(OR(IF(G40="",FALSE,IF(ISNUMBER(G40),OR(G40&lt;1,G40&lt;&gt;INT(G40)),TRUE)),IF(H40="",FALSE,IF(ISNUMBER(H40),OR(H40&lt;1,H40&lt;&gt;INT(H40)),TRUE))),"Invalid rank",IF(OR(IF(G40="",FALSE,COUNTIFS(RecordData[Query ID],"="&amp;SUBSTITUTE(SUBSTITUTE(SUBSTITUTE(A40,"~","~~"),"*","~*"),"?","~?"),RecordData[Rank A],G40)&gt;1),IF(H40="",FALSE,COUNTIFS(RecordData[Query ID],"="&amp;SUBSTITUTE(SUBSTITUTE(SUBSTITUTE(A40,"~","~~"),"*","~*"),"?","~?"),RecordData[Rank B],H40)&gt;1)),"Duplicate rank",IF(AND(F40&lt;&gt;"",F40&lt;&gt;"Yes",F40&lt;&gt;"No"),"Invalid seed flag",IF(AND(D40&lt;&gt;"",D40&lt;&gt;"Relevant",D40&lt;&gt;"Not relevant",D40&lt;&gt;"Unjudged"),"Invalid judgement",IF(AND(F40="Yes",D40="Not relevant"),"Seed marked not relevant",IF(AND(G40="",H40="",F40&lt;&gt;"Yes"),"Absent record must be a seed","OK"))))))))))))</x:f>
      </x:c>
      <x:c r="J40" s="11" t="n">
        <x:f>IF(AND(ISNUMBER(G40),G40&gt;=1,G40&lt;=Comparison!$B$4),1,0)</x:f>
        <x:v>0</x:v>
      </x:c>
      <x:c r="K40" s="11" t="n">
        <x:f>IF(AND(ISNUMBER(H40),H40&gt;=1,H40&lt;=Comparison!$B$4),1,0)</x:f>
        <x:v>0</x:v>
      </x:c>
      <x:c r="L40" s="11" t="n">
        <x:f>IF(AND(J40=1,D40="Relevant"),1,0)</x:f>
        <x:v>0</x:v>
      </x:c>
      <x:c r="M40" s="11" t="n">
        <x:f>IF(AND(K40=1,D40="Relevant"),1,0)</x:f>
        <x:v>0</x:v>
      </x:c>
      <x:c r="N40" s="11" t="n">
        <x:f>IF(AND(OR(J40=1,K40=1),D40&lt;&gt;"Relevant",D40&lt;&gt;"Not relevant"),1,0)</x:f>
        <x:v>0</x:v>
      </x:c>
      <x:c r="O40" s="11" t="n">
        <x:f>IF(AND(J40=1,F40="Yes"),1,0)</x:f>
        <x:v>0</x:v>
      </x:c>
      <x:c r="P40" s="11" t="n">
        <x:f>IF(AND(K40=1,F40="Yes"),1,0)</x:f>
        <x:v>0</x:v>
      </x:c>
      <x:c r="Q40" s="11" t="n">
        <x:f>IF(F40="Yes",1,0)</x:f>
        <x:v>0</x:v>
      </x:c>
    </x:row>
    <x:row r="41" ht="48" customHeight="1">
      <x:c r="A41" s="15"/>
      <x:c r="B41" s="15"/>
      <x:c r="C41" s="12"/>
      <x:c r="D41" s="12"/>
      <x:c r="E41" s="12"/>
      <x:c r="F41" s="10"/>
      <x:c r="G41" s="10"/>
      <x:c r="H41" s="10"/>
      <x:c r="I41" s="11" t="str">
        <x:f>IF(COUNTA(A41:H41)=0,"",IF(A41="","Missing query ID",IF(COUNTIFS(QueryData[Query ID],"="&amp;SUBSTITUTE(SUBSTITUTE(SUBSTITUTE(A41,"~","~~"),"*","~*"),"?","~?"))=0,"Unknown query ID",IF(B41="","Missing record ID",IF(OR(OR(NOT(ISTEXT(A41)),TRIM(A41)&lt;&gt;A41),OR(NOT(ISTEXT(B41)),TRIM(B41)&lt;&gt;B41)),"IDs must be text without outer spaces",IF(COUNTIFS(RecordData[Query ID],"="&amp;SUBSTITUTE(SUBSTITUTE(SUBSTITUTE(A41,"~","~~"),"*","~*"),"?","~?"),RecordData[Record ID],"="&amp;SUBSTITUTE(SUBSTITUTE(SUBSTITUTE(B41,"~","~~"),"*","~*"),"?","~?"))&gt;1,"Duplicate record ID",IF(OR(IF(G41="",FALSE,IF(ISNUMBER(G41),OR(G41&lt;1,G41&lt;&gt;INT(G41)),TRUE)),IF(H41="",FALSE,IF(ISNUMBER(H41),OR(H41&lt;1,H41&lt;&gt;INT(H41)),TRUE))),"Invalid rank",IF(OR(IF(G41="",FALSE,COUNTIFS(RecordData[Query ID],"="&amp;SUBSTITUTE(SUBSTITUTE(SUBSTITUTE(A41,"~","~~"),"*","~*"),"?","~?"),RecordData[Rank A],G41)&gt;1),IF(H41="",FALSE,COUNTIFS(RecordData[Query ID],"="&amp;SUBSTITUTE(SUBSTITUTE(SUBSTITUTE(A41,"~","~~"),"*","~*"),"?","~?"),RecordData[Rank B],H41)&gt;1)),"Duplicate rank",IF(AND(F41&lt;&gt;"",F41&lt;&gt;"Yes",F41&lt;&gt;"No"),"Invalid seed flag",IF(AND(D41&lt;&gt;"",D41&lt;&gt;"Relevant",D41&lt;&gt;"Not relevant",D41&lt;&gt;"Unjudged"),"Invalid judgement",IF(AND(F41="Yes",D41="Not relevant"),"Seed marked not relevant",IF(AND(G41="",H41="",F41&lt;&gt;"Yes"),"Absent record must be a seed","OK"))))))))))))</x:f>
      </x:c>
      <x:c r="J41" s="11" t="n">
        <x:f>IF(AND(ISNUMBER(G41),G41&gt;=1,G41&lt;=Comparison!$B$4),1,0)</x:f>
        <x:v>0</x:v>
      </x:c>
      <x:c r="K41" s="11" t="n">
        <x:f>IF(AND(ISNUMBER(H41),H41&gt;=1,H41&lt;=Comparison!$B$4),1,0)</x:f>
        <x:v>0</x:v>
      </x:c>
      <x:c r="L41" s="11" t="n">
        <x:f>IF(AND(J41=1,D41="Relevant"),1,0)</x:f>
        <x:v>0</x:v>
      </x:c>
      <x:c r="M41" s="11" t="n">
        <x:f>IF(AND(K41=1,D41="Relevant"),1,0)</x:f>
        <x:v>0</x:v>
      </x:c>
      <x:c r="N41" s="11" t="n">
        <x:f>IF(AND(OR(J41=1,K41=1),D41&lt;&gt;"Relevant",D41&lt;&gt;"Not relevant"),1,0)</x:f>
        <x:v>0</x:v>
      </x:c>
      <x:c r="O41" s="11" t="n">
        <x:f>IF(AND(J41=1,F41="Yes"),1,0)</x:f>
        <x:v>0</x:v>
      </x:c>
      <x:c r="P41" s="11" t="n">
        <x:f>IF(AND(K41=1,F41="Yes"),1,0)</x:f>
        <x:v>0</x:v>
      </x:c>
      <x:c r="Q41" s="11" t="n">
        <x:f>IF(F41="Yes",1,0)</x:f>
        <x:v>0</x:v>
      </x:c>
    </x:row>
    <x:row r="42" ht="48" customHeight="1">
      <x:c r="A42" s="15"/>
      <x:c r="B42" s="15"/>
      <x:c r="C42" s="12"/>
      <x:c r="D42" s="12"/>
      <x:c r="E42" s="12"/>
      <x:c r="F42" s="10"/>
      <x:c r="G42" s="10"/>
      <x:c r="H42" s="10"/>
      <x:c r="I42" s="11" t="str">
        <x:f>IF(COUNTA(A42:H42)=0,"",IF(A42="","Missing query ID",IF(COUNTIFS(QueryData[Query ID],"="&amp;SUBSTITUTE(SUBSTITUTE(SUBSTITUTE(A42,"~","~~"),"*","~*"),"?","~?"))=0,"Unknown query ID",IF(B42="","Missing record ID",IF(OR(OR(NOT(ISTEXT(A42)),TRIM(A42)&lt;&gt;A42),OR(NOT(ISTEXT(B42)),TRIM(B42)&lt;&gt;B42)),"IDs must be text without outer spaces",IF(COUNTIFS(RecordData[Query ID],"="&amp;SUBSTITUTE(SUBSTITUTE(SUBSTITUTE(A42,"~","~~"),"*","~*"),"?","~?"),RecordData[Record ID],"="&amp;SUBSTITUTE(SUBSTITUTE(SUBSTITUTE(B42,"~","~~"),"*","~*"),"?","~?"))&gt;1,"Duplicate record ID",IF(OR(IF(G42="",FALSE,IF(ISNUMBER(G42),OR(G42&lt;1,G42&lt;&gt;INT(G42)),TRUE)),IF(H42="",FALSE,IF(ISNUMBER(H42),OR(H42&lt;1,H42&lt;&gt;INT(H42)),TRUE))),"Invalid rank",IF(OR(IF(G42="",FALSE,COUNTIFS(RecordData[Query ID],"="&amp;SUBSTITUTE(SUBSTITUTE(SUBSTITUTE(A42,"~","~~"),"*","~*"),"?","~?"),RecordData[Rank A],G42)&gt;1),IF(H42="",FALSE,COUNTIFS(RecordData[Query ID],"="&amp;SUBSTITUTE(SUBSTITUTE(SUBSTITUTE(A42,"~","~~"),"*","~*"),"?","~?"),RecordData[Rank B],H42)&gt;1)),"Duplicate rank",IF(AND(F42&lt;&gt;"",F42&lt;&gt;"Yes",F42&lt;&gt;"No"),"Invalid seed flag",IF(AND(D42&lt;&gt;"",D42&lt;&gt;"Relevant",D42&lt;&gt;"Not relevant",D42&lt;&gt;"Unjudged"),"Invalid judgement",IF(AND(F42="Yes",D42="Not relevant"),"Seed marked not relevant",IF(AND(G42="",H42="",F42&lt;&gt;"Yes"),"Absent record must be a seed","OK"))))))))))))</x:f>
      </x:c>
      <x:c r="J42" s="11" t="n">
        <x:f>IF(AND(ISNUMBER(G42),G42&gt;=1,G42&lt;=Comparison!$B$4),1,0)</x:f>
        <x:v>0</x:v>
      </x:c>
      <x:c r="K42" s="11" t="n">
        <x:f>IF(AND(ISNUMBER(H42),H42&gt;=1,H42&lt;=Comparison!$B$4),1,0)</x:f>
        <x:v>0</x:v>
      </x:c>
      <x:c r="L42" s="11" t="n">
        <x:f>IF(AND(J42=1,D42="Relevant"),1,0)</x:f>
        <x:v>0</x:v>
      </x:c>
      <x:c r="M42" s="11" t="n">
        <x:f>IF(AND(K42=1,D42="Relevant"),1,0)</x:f>
        <x:v>0</x:v>
      </x:c>
      <x:c r="N42" s="11" t="n">
        <x:f>IF(AND(OR(J42=1,K42=1),D42&lt;&gt;"Relevant",D42&lt;&gt;"Not relevant"),1,0)</x:f>
        <x:v>0</x:v>
      </x:c>
      <x:c r="O42" s="11" t="n">
        <x:f>IF(AND(J42=1,F42="Yes"),1,0)</x:f>
        <x:v>0</x:v>
      </x:c>
      <x:c r="P42" s="11" t="n">
        <x:f>IF(AND(K42=1,F42="Yes"),1,0)</x:f>
        <x:v>0</x:v>
      </x:c>
      <x:c r="Q42" s="11" t="n">
        <x:f>IF(F42="Yes",1,0)</x:f>
        <x:v>0</x:v>
      </x:c>
    </x:row>
    <x:row r="43" ht="48" customHeight="1">
      <x:c r="A43" s="15"/>
      <x:c r="B43" s="15"/>
      <x:c r="C43" s="12"/>
      <x:c r="D43" s="12"/>
      <x:c r="E43" s="12"/>
      <x:c r="F43" s="10"/>
      <x:c r="G43" s="10"/>
      <x:c r="H43" s="10"/>
      <x:c r="I43" s="11" t="str">
        <x:f>IF(COUNTA(A43:H43)=0,"",IF(A43="","Missing query ID",IF(COUNTIFS(QueryData[Query ID],"="&amp;SUBSTITUTE(SUBSTITUTE(SUBSTITUTE(A43,"~","~~"),"*","~*"),"?","~?"))=0,"Unknown query ID",IF(B43="","Missing record ID",IF(OR(OR(NOT(ISTEXT(A43)),TRIM(A43)&lt;&gt;A43),OR(NOT(ISTEXT(B43)),TRIM(B43)&lt;&gt;B43)),"IDs must be text without outer spaces",IF(COUNTIFS(RecordData[Query ID],"="&amp;SUBSTITUTE(SUBSTITUTE(SUBSTITUTE(A43,"~","~~"),"*","~*"),"?","~?"),RecordData[Record ID],"="&amp;SUBSTITUTE(SUBSTITUTE(SUBSTITUTE(B43,"~","~~"),"*","~*"),"?","~?"))&gt;1,"Duplicate record ID",IF(OR(IF(G43="",FALSE,IF(ISNUMBER(G43),OR(G43&lt;1,G43&lt;&gt;INT(G43)),TRUE)),IF(H43="",FALSE,IF(ISNUMBER(H43),OR(H43&lt;1,H43&lt;&gt;INT(H43)),TRUE))),"Invalid rank",IF(OR(IF(G43="",FALSE,COUNTIFS(RecordData[Query ID],"="&amp;SUBSTITUTE(SUBSTITUTE(SUBSTITUTE(A43,"~","~~"),"*","~*"),"?","~?"),RecordData[Rank A],G43)&gt;1),IF(H43="",FALSE,COUNTIFS(RecordData[Query ID],"="&amp;SUBSTITUTE(SUBSTITUTE(SUBSTITUTE(A43,"~","~~"),"*","~*"),"?","~?"),RecordData[Rank B],H43)&gt;1)),"Duplicate rank",IF(AND(F43&lt;&gt;"",F43&lt;&gt;"Yes",F43&lt;&gt;"No"),"Invalid seed flag",IF(AND(D43&lt;&gt;"",D43&lt;&gt;"Relevant",D43&lt;&gt;"Not relevant",D43&lt;&gt;"Unjudged"),"Invalid judgement",IF(AND(F43="Yes",D43="Not relevant"),"Seed marked not relevant",IF(AND(G43="",H43="",F43&lt;&gt;"Yes"),"Absent record must be a seed","OK"))))))))))))</x:f>
      </x:c>
      <x:c r="J43" s="11" t="n">
        <x:f>IF(AND(ISNUMBER(G43),G43&gt;=1,G43&lt;=Comparison!$B$4),1,0)</x:f>
        <x:v>0</x:v>
      </x:c>
      <x:c r="K43" s="11" t="n">
        <x:f>IF(AND(ISNUMBER(H43),H43&gt;=1,H43&lt;=Comparison!$B$4),1,0)</x:f>
        <x:v>0</x:v>
      </x:c>
      <x:c r="L43" s="11" t="n">
        <x:f>IF(AND(J43=1,D43="Relevant"),1,0)</x:f>
        <x:v>0</x:v>
      </x:c>
      <x:c r="M43" s="11" t="n">
        <x:f>IF(AND(K43=1,D43="Relevant"),1,0)</x:f>
        <x:v>0</x:v>
      </x:c>
      <x:c r="N43" s="11" t="n">
        <x:f>IF(AND(OR(J43=1,K43=1),D43&lt;&gt;"Relevant",D43&lt;&gt;"Not relevant"),1,0)</x:f>
        <x:v>0</x:v>
      </x:c>
      <x:c r="O43" s="11" t="n">
        <x:f>IF(AND(J43=1,F43="Yes"),1,0)</x:f>
        <x:v>0</x:v>
      </x:c>
      <x:c r="P43" s="11" t="n">
        <x:f>IF(AND(K43=1,F43="Yes"),1,0)</x:f>
        <x:v>0</x:v>
      </x:c>
      <x:c r="Q43" s="11" t="n">
        <x:f>IF(F43="Yes",1,0)</x:f>
        <x:v>0</x:v>
      </x:c>
    </x:row>
    <x:row r="44" ht="48" customHeight="1">
      <x:c r="A44" s="15"/>
      <x:c r="B44" s="15"/>
      <x:c r="C44" s="12"/>
      <x:c r="D44" s="12"/>
      <x:c r="E44" s="12"/>
      <x:c r="F44" s="10"/>
      <x:c r="G44" s="10"/>
      <x:c r="H44" s="10"/>
      <x:c r="I44" s="11" t="str">
        <x:f>IF(COUNTA(A44:H44)=0,"",IF(A44="","Missing query ID",IF(COUNTIFS(QueryData[Query ID],"="&amp;SUBSTITUTE(SUBSTITUTE(SUBSTITUTE(A44,"~","~~"),"*","~*"),"?","~?"))=0,"Unknown query ID",IF(B44="","Missing record ID",IF(OR(OR(NOT(ISTEXT(A44)),TRIM(A44)&lt;&gt;A44),OR(NOT(ISTEXT(B44)),TRIM(B44)&lt;&gt;B44)),"IDs must be text without outer spaces",IF(COUNTIFS(RecordData[Query ID],"="&amp;SUBSTITUTE(SUBSTITUTE(SUBSTITUTE(A44,"~","~~"),"*","~*"),"?","~?"),RecordData[Record ID],"="&amp;SUBSTITUTE(SUBSTITUTE(SUBSTITUTE(B44,"~","~~"),"*","~*"),"?","~?"))&gt;1,"Duplicate record ID",IF(OR(IF(G44="",FALSE,IF(ISNUMBER(G44),OR(G44&lt;1,G44&lt;&gt;INT(G44)),TRUE)),IF(H44="",FALSE,IF(ISNUMBER(H44),OR(H44&lt;1,H44&lt;&gt;INT(H44)),TRUE))),"Invalid rank",IF(OR(IF(G44="",FALSE,COUNTIFS(RecordData[Query ID],"="&amp;SUBSTITUTE(SUBSTITUTE(SUBSTITUTE(A44,"~","~~"),"*","~*"),"?","~?"),RecordData[Rank A],G44)&gt;1),IF(H44="",FALSE,COUNTIFS(RecordData[Query ID],"="&amp;SUBSTITUTE(SUBSTITUTE(SUBSTITUTE(A44,"~","~~"),"*","~*"),"?","~?"),RecordData[Rank B],H44)&gt;1)),"Duplicate rank",IF(AND(F44&lt;&gt;"",F44&lt;&gt;"Yes",F44&lt;&gt;"No"),"Invalid seed flag",IF(AND(D44&lt;&gt;"",D44&lt;&gt;"Relevant",D44&lt;&gt;"Not relevant",D44&lt;&gt;"Unjudged"),"Invalid judgement",IF(AND(F44="Yes",D44="Not relevant"),"Seed marked not relevant",IF(AND(G44="",H44="",F44&lt;&gt;"Yes"),"Absent record must be a seed","OK"))))))))))))</x:f>
      </x:c>
      <x:c r="J44" s="11" t="n">
        <x:f>IF(AND(ISNUMBER(G44),G44&gt;=1,G44&lt;=Comparison!$B$4),1,0)</x:f>
        <x:v>0</x:v>
      </x:c>
      <x:c r="K44" s="11" t="n">
        <x:f>IF(AND(ISNUMBER(H44),H44&gt;=1,H44&lt;=Comparison!$B$4),1,0)</x:f>
        <x:v>0</x:v>
      </x:c>
      <x:c r="L44" s="11" t="n">
        <x:f>IF(AND(J44=1,D44="Relevant"),1,0)</x:f>
        <x:v>0</x:v>
      </x:c>
      <x:c r="M44" s="11" t="n">
        <x:f>IF(AND(K44=1,D44="Relevant"),1,0)</x:f>
        <x:v>0</x:v>
      </x:c>
      <x:c r="N44" s="11" t="n">
        <x:f>IF(AND(OR(J44=1,K44=1),D44&lt;&gt;"Relevant",D44&lt;&gt;"Not relevant"),1,0)</x:f>
        <x:v>0</x:v>
      </x:c>
      <x:c r="O44" s="11" t="n">
        <x:f>IF(AND(J44=1,F44="Yes"),1,0)</x:f>
        <x:v>0</x:v>
      </x:c>
      <x:c r="P44" s="11" t="n">
        <x:f>IF(AND(K44=1,F44="Yes"),1,0)</x:f>
        <x:v>0</x:v>
      </x:c>
      <x:c r="Q44" s="11" t="n">
        <x:f>IF(F44="Yes",1,0)</x:f>
        <x:v>0</x:v>
      </x:c>
    </x:row>
    <x:row r="45" ht="48" customHeight="1">
      <x:c r="A45" s="15"/>
      <x:c r="B45" s="15"/>
      <x:c r="C45" s="12"/>
      <x:c r="D45" s="12"/>
      <x:c r="E45" s="12"/>
      <x:c r="F45" s="10"/>
      <x:c r="G45" s="10"/>
      <x:c r="H45" s="10"/>
      <x:c r="I45" s="11" t="str">
        <x:f>IF(COUNTA(A45:H45)=0,"",IF(A45="","Missing query ID",IF(COUNTIFS(QueryData[Query ID],"="&amp;SUBSTITUTE(SUBSTITUTE(SUBSTITUTE(A45,"~","~~"),"*","~*"),"?","~?"))=0,"Unknown query ID",IF(B45="","Missing record ID",IF(OR(OR(NOT(ISTEXT(A45)),TRIM(A45)&lt;&gt;A45),OR(NOT(ISTEXT(B45)),TRIM(B45)&lt;&gt;B45)),"IDs must be text without outer spaces",IF(COUNTIFS(RecordData[Query ID],"="&amp;SUBSTITUTE(SUBSTITUTE(SUBSTITUTE(A45,"~","~~"),"*","~*"),"?","~?"),RecordData[Record ID],"="&amp;SUBSTITUTE(SUBSTITUTE(SUBSTITUTE(B45,"~","~~"),"*","~*"),"?","~?"))&gt;1,"Duplicate record ID",IF(OR(IF(G45="",FALSE,IF(ISNUMBER(G45),OR(G45&lt;1,G45&lt;&gt;INT(G45)),TRUE)),IF(H45="",FALSE,IF(ISNUMBER(H45),OR(H45&lt;1,H45&lt;&gt;INT(H45)),TRUE))),"Invalid rank",IF(OR(IF(G45="",FALSE,COUNTIFS(RecordData[Query ID],"="&amp;SUBSTITUTE(SUBSTITUTE(SUBSTITUTE(A45,"~","~~"),"*","~*"),"?","~?"),RecordData[Rank A],G45)&gt;1),IF(H45="",FALSE,COUNTIFS(RecordData[Query ID],"="&amp;SUBSTITUTE(SUBSTITUTE(SUBSTITUTE(A45,"~","~~"),"*","~*"),"?","~?"),RecordData[Rank B],H45)&gt;1)),"Duplicate rank",IF(AND(F45&lt;&gt;"",F45&lt;&gt;"Yes",F45&lt;&gt;"No"),"Invalid seed flag",IF(AND(D45&lt;&gt;"",D45&lt;&gt;"Relevant",D45&lt;&gt;"Not relevant",D45&lt;&gt;"Unjudged"),"Invalid judgement",IF(AND(F45="Yes",D45="Not relevant"),"Seed marked not relevant",IF(AND(G45="",H45="",F45&lt;&gt;"Yes"),"Absent record must be a seed","OK"))))))))))))</x:f>
      </x:c>
      <x:c r="J45" s="11" t="n">
        <x:f>IF(AND(ISNUMBER(G45),G45&gt;=1,G45&lt;=Comparison!$B$4),1,0)</x:f>
        <x:v>0</x:v>
      </x:c>
      <x:c r="K45" s="11" t="n">
        <x:f>IF(AND(ISNUMBER(H45),H45&gt;=1,H45&lt;=Comparison!$B$4),1,0)</x:f>
        <x:v>0</x:v>
      </x:c>
      <x:c r="L45" s="11" t="n">
        <x:f>IF(AND(J45=1,D45="Relevant"),1,0)</x:f>
        <x:v>0</x:v>
      </x:c>
      <x:c r="M45" s="11" t="n">
        <x:f>IF(AND(K45=1,D45="Relevant"),1,0)</x:f>
        <x:v>0</x:v>
      </x:c>
      <x:c r="N45" s="11" t="n">
        <x:f>IF(AND(OR(J45=1,K45=1),D45&lt;&gt;"Relevant",D45&lt;&gt;"Not relevant"),1,0)</x:f>
        <x:v>0</x:v>
      </x:c>
      <x:c r="O45" s="11" t="n">
        <x:f>IF(AND(J45=1,F45="Yes"),1,0)</x:f>
        <x:v>0</x:v>
      </x:c>
      <x:c r="P45" s="11" t="n">
        <x:f>IF(AND(K45=1,F45="Yes"),1,0)</x:f>
        <x:v>0</x:v>
      </x:c>
      <x:c r="Q45" s="11" t="n">
        <x:f>IF(F45="Yes",1,0)</x:f>
        <x:v>0</x:v>
      </x:c>
    </x:row>
    <x:row r="46" ht="48" customHeight="1">
      <x:c r="A46" s="15"/>
      <x:c r="B46" s="15"/>
      <x:c r="C46" s="12"/>
      <x:c r="D46" s="12"/>
      <x:c r="E46" s="12"/>
      <x:c r="F46" s="10"/>
      <x:c r="G46" s="10"/>
      <x:c r="H46" s="10"/>
      <x:c r="I46" s="11" t="str">
        <x:f>IF(COUNTA(A46:H46)=0,"",IF(A46="","Missing query ID",IF(COUNTIFS(QueryData[Query ID],"="&amp;SUBSTITUTE(SUBSTITUTE(SUBSTITUTE(A46,"~","~~"),"*","~*"),"?","~?"))=0,"Unknown query ID",IF(B46="","Missing record ID",IF(OR(OR(NOT(ISTEXT(A46)),TRIM(A46)&lt;&gt;A46),OR(NOT(ISTEXT(B46)),TRIM(B46)&lt;&gt;B46)),"IDs must be text without outer spaces",IF(COUNTIFS(RecordData[Query ID],"="&amp;SUBSTITUTE(SUBSTITUTE(SUBSTITUTE(A46,"~","~~"),"*","~*"),"?","~?"),RecordData[Record ID],"="&amp;SUBSTITUTE(SUBSTITUTE(SUBSTITUTE(B46,"~","~~"),"*","~*"),"?","~?"))&gt;1,"Duplicate record ID",IF(OR(IF(G46="",FALSE,IF(ISNUMBER(G46),OR(G46&lt;1,G46&lt;&gt;INT(G46)),TRUE)),IF(H46="",FALSE,IF(ISNUMBER(H46),OR(H46&lt;1,H46&lt;&gt;INT(H46)),TRUE))),"Invalid rank",IF(OR(IF(G46="",FALSE,COUNTIFS(RecordData[Query ID],"="&amp;SUBSTITUTE(SUBSTITUTE(SUBSTITUTE(A46,"~","~~"),"*","~*"),"?","~?"),RecordData[Rank A],G46)&gt;1),IF(H46="",FALSE,COUNTIFS(RecordData[Query ID],"="&amp;SUBSTITUTE(SUBSTITUTE(SUBSTITUTE(A46,"~","~~"),"*","~*"),"?","~?"),RecordData[Rank B],H46)&gt;1)),"Duplicate rank",IF(AND(F46&lt;&gt;"",F46&lt;&gt;"Yes",F46&lt;&gt;"No"),"Invalid seed flag",IF(AND(D46&lt;&gt;"",D46&lt;&gt;"Relevant",D46&lt;&gt;"Not relevant",D46&lt;&gt;"Unjudged"),"Invalid judgement",IF(AND(F46="Yes",D46="Not relevant"),"Seed marked not relevant",IF(AND(G46="",H46="",F46&lt;&gt;"Yes"),"Absent record must be a seed","OK"))))))))))))</x:f>
      </x:c>
      <x:c r="J46" s="11" t="n">
        <x:f>IF(AND(ISNUMBER(G46),G46&gt;=1,G46&lt;=Comparison!$B$4),1,0)</x:f>
        <x:v>0</x:v>
      </x:c>
      <x:c r="K46" s="11" t="n">
        <x:f>IF(AND(ISNUMBER(H46),H46&gt;=1,H46&lt;=Comparison!$B$4),1,0)</x:f>
        <x:v>0</x:v>
      </x:c>
      <x:c r="L46" s="11" t="n">
        <x:f>IF(AND(J46=1,D46="Relevant"),1,0)</x:f>
        <x:v>0</x:v>
      </x:c>
      <x:c r="M46" s="11" t="n">
        <x:f>IF(AND(K46=1,D46="Relevant"),1,0)</x:f>
        <x:v>0</x:v>
      </x:c>
      <x:c r="N46" s="11" t="n">
        <x:f>IF(AND(OR(J46=1,K46=1),D46&lt;&gt;"Relevant",D46&lt;&gt;"Not relevant"),1,0)</x:f>
        <x:v>0</x:v>
      </x:c>
      <x:c r="O46" s="11" t="n">
        <x:f>IF(AND(J46=1,F46="Yes"),1,0)</x:f>
        <x:v>0</x:v>
      </x:c>
      <x:c r="P46" s="11" t="n">
        <x:f>IF(AND(K46=1,F46="Yes"),1,0)</x:f>
        <x:v>0</x:v>
      </x:c>
      <x:c r="Q46" s="11" t="n">
        <x:f>IF(F46="Yes",1,0)</x:f>
        <x:v>0</x:v>
      </x:c>
    </x:row>
    <x:row r="47" ht="48" customHeight="1">
      <x:c r="A47" s="15"/>
      <x:c r="B47" s="15"/>
      <x:c r="C47" s="12"/>
      <x:c r="D47" s="12"/>
      <x:c r="E47" s="12"/>
      <x:c r="F47" s="10"/>
      <x:c r="G47" s="10"/>
      <x:c r="H47" s="10"/>
      <x:c r="I47" s="11" t="str">
        <x:f>IF(COUNTA(A47:H47)=0,"",IF(A47="","Missing query ID",IF(COUNTIFS(QueryData[Query ID],"="&amp;SUBSTITUTE(SUBSTITUTE(SUBSTITUTE(A47,"~","~~"),"*","~*"),"?","~?"))=0,"Unknown query ID",IF(B47="","Missing record ID",IF(OR(OR(NOT(ISTEXT(A47)),TRIM(A47)&lt;&gt;A47),OR(NOT(ISTEXT(B47)),TRIM(B47)&lt;&gt;B47)),"IDs must be text without outer spaces",IF(COUNTIFS(RecordData[Query ID],"="&amp;SUBSTITUTE(SUBSTITUTE(SUBSTITUTE(A47,"~","~~"),"*","~*"),"?","~?"),RecordData[Record ID],"="&amp;SUBSTITUTE(SUBSTITUTE(SUBSTITUTE(B47,"~","~~"),"*","~*"),"?","~?"))&gt;1,"Duplicate record ID",IF(OR(IF(G47="",FALSE,IF(ISNUMBER(G47),OR(G47&lt;1,G47&lt;&gt;INT(G47)),TRUE)),IF(H47="",FALSE,IF(ISNUMBER(H47),OR(H47&lt;1,H47&lt;&gt;INT(H47)),TRUE))),"Invalid rank",IF(OR(IF(G47="",FALSE,COUNTIFS(RecordData[Query ID],"="&amp;SUBSTITUTE(SUBSTITUTE(SUBSTITUTE(A47,"~","~~"),"*","~*"),"?","~?"),RecordData[Rank A],G47)&gt;1),IF(H47="",FALSE,COUNTIFS(RecordData[Query ID],"="&amp;SUBSTITUTE(SUBSTITUTE(SUBSTITUTE(A47,"~","~~"),"*","~*"),"?","~?"),RecordData[Rank B],H47)&gt;1)),"Duplicate rank",IF(AND(F47&lt;&gt;"",F47&lt;&gt;"Yes",F47&lt;&gt;"No"),"Invalid seed flag",IF(AND(D47&lt;&gt;"",D47&lt;&gt;"Relevant",D47&lt;&gt;"Not relevant",D47&lt;&gt;"Unjudged"),"Invalid judgement",IF(AND(F47="Yes",D47="Not relevant"),"Seed marked not relevant",IF(AND(G47="",H47="",F47&lt;&gt;"Yes"),"Absent record must be a seed","OK"))))))))))))</x:f>
      </x:c>
      <x:c r="J47" s="11" t="n">
        <x:f>IF(AND(ISNUMBER(G47),G47&gt;=1,G47&lt;=Comparison!$B$4),1,0)</x:f>
        <x:v>0</x:v>
      </x:c>
      <x:c r="K47" s="11" t="n">
        <x:f>IF(AND(ISNUMBER(H47),H47&gt;=1,H47&lt;=Comparison!$B$4),1,0)</x:f>
        <x:v>0</x:v>
      </x:c>
      <x:c r="L47" s="11" t="n">
        <x:f>IF(AND(J47=1,D47="Relevant"),1,0)</x:f>
        <x:v>0</x:v>
      </x:c>
      <x:c r="M47" s="11" t="n">
        <x:f>IF(AND(K47=1,D47="Relevant"),1,0)</x:f>
        <x:v>0</x:v>
      </x:c>
      <x:c r="N47" s="11" t="n">
        <x:f>IF(AND(OR(J47=1,K47=1),D47&lt;&gt;"Relevant",D47&lt;&gt;"Not relevant"),1,0)</x:f>
        <x:v>0</x:v>
      </x:c>
      <x:c r="O47" s="11" t="n">
        <x:f>IF(AND(J47=1,F47="Yes"),1,0)</x:f>
        <x:v>0</x:v>
      </x:c>
      <x:c r="P47" s="11" t="n">
        <x:f>IF(AND(K47=1,F47="Yes"),1,0)</x:f>
        <x:v>0</x:v>
      </x:c>
      <x:c r="Q47" s="11" t="n">
        <x:f>IF(F47="Yes",1,0)</x:f>
        <x:v>0</x:v>
      </x:c>
    </x:row>
    <x:row r="48" ht="48" customHeight="1">
      <x:c r="A48" s="15"/>
      <x:c r="B48" s="15"/>
      <x:c r="C48" s="12"/>
      <x:c r="D48" s="12"/>
      <x:c r="E48" s="12"/>
      <x:c r="F48" s="10"/>
      <x:c r="G48" s="10"/>
      <x:c r="H48" s="10"/>
      <x:c r="I48" s="11" t="str">
        <x:f>IF(COUNTA(A48:H48)=0,"",IF(A48="","Missing query ID",IF(COUNTIFS(QueryData[Query ID],"="&amp;SUBSTITUTE(SUBSTITUTE(SUBSTITUTE(A48,"~","~~"),"*","~*"),"?","~?"))=0,"Unknown query ID",IF(B48="","Missing record ID",IF(OR(OR(NOT(ISTEXT(A48)),TRIM(A48)&lt;&gt;A48),OR(NOT(ISTEXT(B48)),TRIM(B48)&lt;&gt;B48)),"IDs must be text without outer spaces",IF(COUNTIFS(RecordData[Query ID],"="&amp;SUBSTITUTE(SUBSTITUTE(SUBSTITUTE(A48,"~","~~"),"*","~*"),"?","~?"),RecordData[Record ID],"="&amp;SUBSTITUTE(SUBSTITUTE(SUBSTITUTE(B48,"~","~~"),"*","~*"),"?","~?"))&gt;1,"Duplicate record ID",IF(OR(IF(G48="",FALSE,IF(ISNUMBER(G48),OR(G48&lt;1,G48&lt;&gt;INT(G48)),TRUE)),IF(H48="",FALSE,IF(ISNUMBER(H48),OR(H48&lt;1,H48&lt;&gt;INT(H48)),TRUE))),"Invalid rank",IF(OR(IF(G48="",FALSE,COUNTIFS(RecordData[Query ID],"="&amp;SUBSTITUTE(SUBSTITUTE(SUBSTITUTE(A48,"~","~~"),"*","~*"),"?","~?"),RecordData[Rank A],G48)&gt;1),IF(H48="",FALSE,COUNTIFS(RecordData[Query ID],"="&amp;SUBSTITUTE(SUBSTITUTE(SUBSTITUTE(A48,"~","~~"),"*","~*"),"?","~?"),RecordData[Rank B],H48)&gt;1)),"Duplicate rank",IF(AND(F48&lt;&gt;"",F48&lt;&gt;"Yes",F48&lt;&gt;"No"),"Invalid seed flag",IF(AND(D48&lt;&gt;"",D48&lt;&gt;"Relevant",D48&lt;&gt;"Not relevant",D48&lt;&gt;"Unjudged"),"Invalid judgement",IF(AND(F48="Yes",D48="Not relevant"),"Seed marked not relevant",IF(AND(G48="",H48="",F48&lt;&gt;"Yes"),"Absent record must be a seed","OK"))))))))))))</x:f>
      </x:c>
      <x:c r="J48" s="11" t="n">
        <x:f>IF(AND(ISNUMBER(G48),G48&gt;=1,G48&lt;=Comparison!$B$4),1,0)</x:f>
        <x:v>0</x:v>
      </x:c>
      <x:c r="K48" s="11" t="n">
        <x:f>IF(AND(ISNUMBER(H48),H48&gt;=1,H48&lt;=Comparison!$B$4),1,0)</x:f>
        <x:v>0</x:v>
      </x:c>
      <x:c r="L48" s="11" t="n">
        <x:f>IF(AND(J48=1,D48="Relevant"),1,0)</x:f>
        <x:v>0</x:v>
      </x:c>
      <x:c r="M48" s="11" t="n">
        <x:f>IF(AND(K48=1,D48="Relevant"),1,0)</x:f>
        <x:v>0</x:v>
      </x:c>
      <x:c r="N48" s="11" t="n">
        <x:f>IF(AND(OR(J48=1,K48=1),D48&lt;&gt;"Relevant",D48&lt;&gt;"Not relevant"),1,0)</x:f>
        <x:v>0</x:v>
      </x:c>
      <x:c r="O48" s="11" t="n">
        <x:f>IF(AND(J48=1,F48="Yes"),1,0)</x:f>
        <x:v>0</x:v>
      </x:c>
      <x:c r="P48" s="11" t="n">
        <x:f>IF(AND(K48=1,F48="Yes"),1,0)</x:f>
        <x:v>0</x:v>
      </x:c>
      <x:c r="Q48" s="11" t="n">
        <x:f>IF(F48="Yes",1,0)</x:f>
        <x:v>0</x:v>
      </x:c>
    </x:row>
    <x:row r="49" ht="48" customHeight="1">
      <x:c r="A49" s="15"/>
      <x:c r="B49" s="15"/>
      <x:c r="C49" s="12"/>
      <x:c r="D49" s="12"/>
      <x:c r="E49" s="12"/>
      <x:c r="F49" s="10"/>
      <x:c r="G49" s="10"/>
      <x:c r="H49" s="10"/>
      <x:c r="I49" s="11" t="str">
        <x:f>IF(COUNTA(A49:H49)=0,"",IF(A49="","Missing query ID",IF(COUNTIFS(QueryData[Query ID],"="&amp;SUBSTITUTE(SUBSTITUTE(SUBSTITUTE(A49,"~","~~"),"*","~*"),"?","~?"))=0,"Unknown query ID",IF(B49="","Missing record ID",IF(OR(OR(NOT(ISTEXT(A49)),TRIM(A49)&lt;&gt;A49),OR(NOT(ISTEXT(B49)),TRIM(B49)&lt;&gt;B49)),"IDs must be text without outer spaces",IF(COUNTIFS(RecordData[Query ID],"="&amp;SUBSTITUTE(SUBSTITUTE(SUBSTITUTE(A49,"~","~~"),"*","~*"),"?","~?"),RecordData[Record ID],"="&amp;SUBSTITUTE(SUBSTITUTE(SUBSTITUTE(B49,"~","~~"),"*","~*"),"?","~?"))&gt;1,"Duplicate record ID",IF(OR(IF(G49="",FALSE,IF(ISNUMBER(G49),OR(G49&lt;1,G49&lt;&gt;INT(G49)),TRUE)),IF(H49="",FALSE,IF(ISNUMBER(H49),OR(H49&lt;1,H49&lt;&gt;INT(H49)),TRUE))),"Invalid rank",IF(OR(IF(G49="",FALSE,COUNTIFS(RecordData[Query ID],"="&amp;SUBSTITUTE(SUBSTITUTE(SUBSTITUTE(A49,"~","~~"),"*","~*"),"?","~?"),RecordData[Rank A],G49)&gt;1),IF(H49="",FALSE,COUNTIFS(RecordData[Query ID],"="&amp;SUBSTITUTE(SUBSTITUTE(SUBSTITUTE(A49,"~","~~"),"*","~*"),"?","~?"),RecordData[Rank B],H49)&gt;1)),"Duplicate rank",IF(AND(F49&lt;&gt;"",F49&lt;&gt;"Yes",F49&lt;&gt;"No"),"Invalid seed flag",IF(AND(D49&lt;&gt;"",D49&lt;&gt;"Relevant",D49&lt;&gt;"Not relevant",D49&lt;&gt;"Unjudged"),"Invalid judgement",IF(AND(F49="Yes",D49="Not relevant"),"Seed marked not relevant",IF(AND(G49="",H49="",F49&lt;&gt;"Yes"),"Absent record must be a seed","OK"))))))))))))</x:f>
      </x:c>
      <x:c r="J49" s="11" t="n">
        <x:f>IF(AND(ISNUMBER(G49),G49&gt;=1,G49&lt;=Comparison!$B$4),1,0)</x:f>
        <x:v>0</x:v>
      </x:c>
      <x:c r="K49" s="11" t="n">
        <x:f>IF(AND(ISNUMBER(H49),H49&gt;=1,H49&lt;=Comparison!$B$4),1,0)</x:f>
        <x:v>0</x:v>
      </x:c>
      <x:c r="L49" s="11" t="n">
        <x:f>IF(AND(J49=1,D49="Relevant"),1,0)</x:f>
        <x:v>0</x:v>
      </x:c>
      <x:c r="M49" s="11" t="n">
        <x:f>IF(AND(K49=1,D49="Relevant"),1,0)</x:f>
        <x:v>0</x:v>
      </x:c>
      <x:c r="N49" s="11" t="n">
        <x:f>IF(AND(OR(J49=1,K49=1),D49&lt;&gt;"Relevant",D49&lt;&gt;"Not relevant"),1,0)</x:f>
        <x:v>0</x:v>
      </x:c>
      <x:c r="O49" s="11" t="n">
        <x:f>IF(AND(J49=1,F49="Yes"),1,0)</x:f>
        <x:v>0</x:v>
      </x:c>
      <x:c r="P49" s="11" t="n">
        <x:f>IF(AND(K49=1,F49="Yes"),1,0)</x:f>
        <x:v>0</x:v>
      </x:c>
      <x:c r="Q49" s="11" t="n">
        <x:f>IF(F49="Yes",1,0)</x:f>
        <x:v>0</x:v>
      </x:c>
    </x:row>
    <x:row r="50" ht="48" customHeight="1">
      <x:c r="A50" s="15"/>
      <x:c r="B50" s="15"/>
      <x:c r="C50" s="12"/>
      <x:c r="D50" s="12"/>
      <x:c r="E50" s="12"/>
      <x:c r="F50" s="10"/>
      <x:c r="G50" s="10"/>
      <x:c r="H50" s="10"/>
      <x:c r="I50" s="11" t="str">
        <x:f>IF(COUNTA(A50:H50)=0,"",IF(A50="","Missing query ID",IF(COUNTIFS(QueryData[Query ID],"="&amp;SUBSTITUTE(SUBSTITUTE(SUBSTITUTE(A50,"~","~~"),"*","~*"),"?","~?"))=0,"Unknown query ID",IF(B50="","Missing record ID",IF(OR(OR(NOT(ISTEXT(A50)),TRIM(A50)&lt;&gt;A50),OR(NOT(ISTEXT(B50)),TRIM(B50)&lt;&gt;B50)),"IDs must be text without outer spaces",IF(COUNTIFS(RecordData[Query ID],"="&amp;SUBSTITUTE(SUBSTITUTE(SUBSTITUTE(A50,"~","~~"),"*","~*"),"?","~?"),RecordData[Record ID],"="&amp;SUBSTITUTE(SUBSTITUTE(SUBSTITUTE(B50,"~","~~"),"*","~*"),"?","~?"))&gt;1,"Duplicate record ID",IF(OR(IF(G50="",FALSE,IF(ISNUMBER(G50),OR(G50&lt;1,G50&lt;&gt;INT(G50)),TRUE)),IF(H50="",FALSE,IF(ISNUMBER(H50),OR(H50&lt;1,H50&lt;&gt;INT(H50)),TRUE))),"Invalid rank",IF(OR(IF(G50="",FALSE,COUNTIFS(RecordData[Query ID],"="&amp;SUBSTITUTE(SUBSTITUTE(SUBSTITUTE(A50,"~","~~"),"*","~*"),"?","~?"),RecordData[Rank A],G50)&gt;1),IF(H50="",FALSE,COUNTIFS(RecordData[Query ID],"="&amp;SUBSTITUTE(SUBSTITUTE(SUBSTITUTE(A50,"~","~~"),"*","~*"),"?","~?"),RecordData[Rank B],H50)&gt;1)),"Duplicate rank",IF(AND(F50&lt;&gt;"",F50&lt;&gt;"Yes",F50&lt;&gt;"No"),"Invalid seed flag",IF(AND(D50&lt;&gt;"",D50&lt;&gt;"Relevant",D50&lt;&gt;"Not relevant",D50&lt;&gt;"Unjudged"),"Invalid judgement",IF(AND(F50="Yes",D50="Not relevant"),"Seed marked not relevant",IF(AND(G50="",H50="",F50&lt;&gt;"Yes"),"Absent record must be a seed","OK"))))))))))))</x:f>
      </x:c>
      <x:c r="J50" s="11" t="n">
        <x:f>IF(AND(ISNUMBER(G50),G50&gt;=1,G50&lt;=Comparison!$B$4),1,0)</x:f>
        <x:v>0</x:v>
      </x:c>
      <x:c r="K50" s="11" t="n">
        <x:f>IF(AND(ISNUMBER(H50),H50&gt;=1,H50&lt;=Comparison!$B$4),1,0)</x:f>
        <x:v>0</x:v>
      </x:c>
      <x:c r="L50" s="11" t="n">
        <x:f>IF(AND(J50=1,D50="Relevant"),1,0)</x:f>
        <x:v>0</x:v>
      </x:c>
      <x:c r="M50" s="11" t="n">
        <x:f>IF(AND(K50=1,D50="Relevant"),1,0)</x:f>
        <x:v>0</x:v>
      </x:c>
      <x:c r="N50" s="11" t="n">
        <x:f>IF(AND(OR(J50=1,K50=1),D50&lt;&gt;"Relevant",D50&lt;&gt;"Not relevant"),1,0)</x:f>
        <x:v>0</x:v>
      </x:c>
      <x:c r="O50" s="11" t="n">
        <x:f>IF(AND(J50=1,F50="Yes"),1,0)</x:f>
        <x:v>0</x:v>
      </x:c>
      <x:c r="P50" s="11" t="n">
        <x:f>IF(AND(K50=1,F50="Yes"),1,0)</x:f>
        <x:v>0</x:v>
      </x:c>
      <x:c r="Q50" s="11" t="n">
        <x:f>IF(F50="Yes",1,0)</x:f>
        <x:v>0</x:v>
      </x:c>
    </x:row>
    <x:row r="51" ht="48" customHeight="1">
      <x:c r="A51" s="15"/>
      <x:c r="B51" s="15"/>
      <x:c r="C51" s="12"/>
      <x:c r="D51" s="12"/>
      <x:c r="E51" s="12"/>
      <x:c r="F51" s="10"/>
      <x:c r="G51" s="10"/>
      <x:c r="H51" s="10"/>
      <x:c r="I51" s="11" t="str">
        <x:f>IF(COUNTA(A51:H51)=0,"",IF(A51="","Missing query ID",IF(COUNTIFS(QueryData[Query ID],"="&amp;SUBSTITUTE(SUBSTITUTE(SUBSTITUTE(A51,"~","~~"),"*","~*"),"?","~?"))=0,"Unknown query ID",IF(B51="","Missing record ID",IF(OR(OR(NOT(ISTEXT(A51)),TRIM(A51)&lt;&gt;A51),OR(NOT(ISTEXT(B51)),TRIM(B51)&lt;&gt;B51)),"IDs must be text without outer spaces",IF(COUNTIFS(RecordData[Query ID],"="&amp;SUBSTITUTE(SUBSTITUTE(SUBSTITUTE(A51,"~","~~"),"*","~*"),"?","~?"),RecordData[Record ID],"="&amp;SUBSTITUTE(SUBSTITUTE(SUBSTITUTE(B51,"~","~~"),"*","~*"),"?","~?"))&gt;1,"Duplicate record ID",IF(OR(IF(G51="",FALSE,IF(ISNUMBER(G51),OR(G51&lt;1,G51&lt;&gt;INT(G51)),TRUE)),IF(H51="",FALSE,IF(ISNUMBER(H51),OR(H51&lt;1,H51&lt;&gt;INT(H51)),TRUE))),"Invalid rank",IF(OR(IF(G51="",FALSE,COUNTIFS(RecordData[Query ID],"="&amp;SUBSTITUTE(SUBSTITUTE(SUBSTITUTE(A51,"~","~~"),"*","~*"),"?","~?"),RecordData[Rank A],G51)&gt;1),IF(H51="",FALSE,COUNTIFS(RecordData[Query ID],"="&amp;SUBSTITUTE(SUBSTITUTE(SUBSTITUTE(A51,"~","~~"),"*","~*"),"?","~?"),RecordData[Rank B],H51)&gt;1)),"Duplicate rank",IF(AND(F51&lt;&gt;"",F51&lt;&gt;"Yes",F51&lt;&gt;"No"),"Invalid seed flag",IF(AND(D51&lt;&gt;"",D51&lt;&gt;"Relevant",D51&lt;&gt;"Not relevant",D51&lt;&gt;"Unjudged"),"Invalid judgement",IF(AND(F51="Yes",D51="Not relevant"),"Seed marked not relevant",IF(AND(G51="",H51="",F51&lt;&gt;"Yes"),"Absent record must be a seed","OK"))))))))))))</x:f>
      </x:c>
      <x:c r="J51" s="11" t="n">
        <x:f>IF(AND(ISNUMBER(G51),G51&gt;=1,G51&lt;=Comparison!$B$4),1,0)</x:f>
        <x:v>0</x:v>
      </x:c>
      <x:c r="K51" s="11" t="n">
        <x:f>IF(AND(ISNUMBER(H51),H51&gt;=1,H51&lt;=Comparison!$B$4),1,0)</x:f>
        <x:v>0</x:v>
      </x:c>
      <x:c r="L51" s="11" t="n">
        <x:f>IF(AND(J51=1,D51="Relevant"),1,0)</x:f>
        <x:v>0</x:v>
      </x:c>
      <x:c r="M51" s="11" t="n">
        <x:f>IF(AND(K51=1,D51="Relevant"),1,0)</x:f>
        <x:v>0</x:v>
      </x:c>
      <x:c r="N51" s="11" t="n">
        <x:f>IF(AND(OR(J51=1,K51=1),D51&lt;&gt;"Relevant",D51&lt;&gt;"Not relevant"),1,0)</x:f>
        <x:v>0</x:v>
      </x:c>
      <x:c r="O51" s="11" t="n">
        <x:f>IF(AND(J51=1,F51="Yes"),1,0)</x:f>
        <x:v>0</x:v>
      </x:c>
      <x:c r="P51" s="11" t="n">
        <x:f>IF(AND(K51=1,F51="Yes"),1,0)</x:f>
        <x:v>0</x:v>
      </x:c>
      <x:c r="Q51" s="11" t="n">
        <x:f>IF(F51="Yes",1,0)</x:f>
        <x:v>0</x:v>
      </x:c>
    </x:row>
    <x:row r="52" ht="48" customHeight="1">
      <x:c r="A52" s="15"/>
      <x:c r="B52" s="15"/>
      <x:c r="C52" s="12"/>
      <x:c r="D52" s="12"/>
      <x:c r="E52" s="12"/>
      <x:c r="F52" s="10"/>
      <x:c r="G52" s="10"/>
      <x:c r="H52" s="10"/>
      <x:c r="I52" s="11" t="str">
        <x:f>IF(COUNTA(A52:H52)=0,"",IF(A52="","Missing query ID",IF(COUNTIFS(QueryData[Query ID],"="&amp;SUBSTITUTE(SUBSTITUTE(SUBSTITUTE(A52,"~","~~"),"*","~*"),"?","~?"))=0,"Unknown query ID",IF(B52="","Missing record ID",IF(OR(OR(NOT(ISTEXT(A52)),TRIM(A52)&lt;&gt;A52),OR(NOT(ISTEXT(B52)),TRIM(B52)&lt;&gt;B52)),"IDs must be text without outer spaces",IF(COUNTIFS(RecordData[Query ID],"="&amp;SUBSTITUTE(SUBSTITUTE(SUBSTITUTE(A52,"~","~~"),"*","~*"),"?","~?"),RecordData[Record ID],"="&amp;SUBSTITUTE(SUBSTITUTE(SUBSTITUTE(B52,"~","~~"),"*","~*"),"?","~?"))&gt;1,"Duplicate record ID",IF(OR(IF(G52="",FALSE,IF(ISNUMBER(G52),OR(G52&lt;1,G52&lt;&gt;INT(G52)),TRUE)),IF(H52="",FALSE,IF(ISNUMBER(H52),OR(H52&lt;1,H52&lt;&gt;INT(H52)),TRUE))),"Invalid rank",IF(OR(IF(G52="",FALSE,COUNTIFS(RecordData[Query ID],"="&amp;SUBSTITUTE(SUBSTITUTE(SUBSTITUTE(A52,"~","~~"),"*","~*"),"?","~?"),RecordData[Rank A],G52)&gt;1),IF(H52="",FALSE,COUNTIFS(RecordData[Query ID],"="&amp;SUBSTITUTE(SUBSTITUTE(SUBSTITUTE(A52,"~","~~"),"*","~*"),"?","~?"),RecordData[Rank B],H52)&gt;1)),"Duplicate rank",IF(AND(F52&lt;&gt;"",F52&lt;&gt;"Yes",F52&lt;&gt;"No"),"Invalid seed flag",IF(AND(D52&lt;&gt;"",D52&lt;&gt;"Relevant",D52&lt;&gt;"Not relevant",D52&lt;&gt;"Unjudged"),"Invalid judgement",IF(AND(F52="Yes",D52="Not relevant"),"Seed marked not relevant",IF(AND(G52="",H52="",F52&lt;&gt;"Yes"),"Absent record must be a seed","OK"))))))))))))</x:f>
      </x:c>
      <x:c r="J52" s="11" t="n">
        <x:f>IF(AND(ISNUMBER(G52),G52&gt;=1,G52&lt;=Comparison!$B$4),1,0)</x:f>
        <x:v>0</x:v>
      </x:c>
      <x:c r="K52" s="11" t="n">
        <x:f>IF(AND(ISNUMBER(H52),H52&gt;=1,H52&lt;=Comparison!$B$4),1,0)</x:f>
        <x:v>0</x:v>
      </x:c>
      <x:c r="L52" s="11" t="n">
        <x:f>IF(AND(J52=1,D52="Relevant"),1,0)</x:f>
        <x:v>0</x:v>
      </x:c>
      <x:c r="M52" s="11" t="n">
        <x:f>IF(AND(K52=1,D52="Relevant"),1,0)</x:f>
        <x:v>0</x:v>
      </x:c>
      <x:c r="N52" s="11" t="n">
        <x:f>IF(AND(OR(J52=1,K52=1),D52&lt;&gt;"Relevant",D52&lt;&gt;"Not relevant"),1,0)</x:f>
        <x:v>0</x:v>
      </x:c>
      <x:c r="O52" s="11" t="n">
        <x:f>IF(AND(J52=1,F52="Yes"),1,0)</x:f>
        <x:v>0</x:v>
      </x:c>
      <x:c r="P52" s="11" t="n">
        <x:f>IF(AND(K52=1,F52="Yes"),1,0)</x:f>
        <x:v>0</x:v>
      </x:c>
      <x:c r="Q52" s="11" t="n">
        <x:f>IF(F52="Yes",1,0)</x:f>
        <x:v>0</x:v>
      </x:c>
    </x:row>
    <x:row r="53" ht="48" customHeight="1">
      <x:c r="A53" s="15"/>
      <x:c r="B53" s="15"/>
      <x:c r="C53" s="12"/>
      <x:c r="D53" s="12"/>
      <x:c r="E53" s="12"/>
      <x:c r="F53" s="10"/>
      <x:c r="G53" s="10"/>
      <x:c r="H53" s="10"/>
      <x:c r="I53" s="11" t="str">
        <x:f>IF(COUNTA(A53:H53)=0,"",IF(A53="","Missing query ID",IF(COUNTIFS(QueryData[Query ID],"="&amp;SUBSTITUTE(SUBSTITUTE(SUBSTITUTE(A53,"~","~~"),"*","~*"),"?","~?"))=0,"Unknown query ID",IF(B53="","Missing record ID",IF(OR(OR(NOT(ISTEXT(A53)),TRIM(A53)&lt;&gt;A53),OR(NOT(ISTEXT(B53)),TRIM(B53)&lt;&gt;B53)),"IDs must be text without outer spaces",IF(COUNTIFS(RecordData[Query ID],"="&amp;SUBSTITUTE(SUBSTITUTE(SUBSTITUTE(A53,"~","~~"),"*","~*"),"?","~?"),RecordData[Record ID],"="&amp;SUBSTITUTE(SUBSTITUTE(SUBSTITUTE(B53,"~","~~"),"*","~*"),"?","~?"))&gt;1,"Duplicate record ID",IF(OR(IF(G53="",FALSE,IF(ISNUMBER(G53),OR(G53&lt;1,G53&lt;&gt;INT(G53)),TRUE)),IF(H53="",FALSE,IF(ISNUMBER(H53),OR(H53&lt;1,H53&lt;&gt;INT(H53)),TRUE))),"Invalid rank",IF(OR(IF(G53="",FALSE,COUNTIFS(RecordData[Query ID],"="&amp;SUBSTITUTE(SUBSTITUTE(SUBSTITUTE(A53,"~","~~"),"*","~*"),"?","~?"),RecordData[Rank A],G53)&gt;1),IF(H53="",FALSE,COUNTIFS(RecordData[Query ID],"="&amp;SUBSTITUTE(SUBSTITUTE(SUBSTITUTE(A53,"~","~~"),"*","~*"),"?","~?"),RecordData[Rank B],H53)&gt;1)),"Duplicate rank",IF(AND(F53&lt;&gt;"",F53&lt;&gt;"Yes",F53&lt;&gt;"No"),"Invalid seed flag",IF(AND(D53&lt;&gt;"",D53&lt;&gt;"Relevant",D53&lt;&gt;"Not relevant",D53&lt;&gt;"Unjudged"),"Invalid judgement",IF(AND(F53="Yes",D53="Not relevant"),"Seed marked not relevant",IF(AND(G53="",H53="",F53&lt;&gt;"Yes"),"Absent record must be a seed","OK"))))))))))))</x:f>
      </x:c>
      <x:c r="J53" s="11" t="n">
        <x:f>IF(AND(ISNUMBER(G53),G53&gt;=1,G53&lt;=Comparison!$B$4),1,0)</x:f>
        <x:v>0</x:v>
      </x:c>
      <x:c r="K53" s="11" t="n">
        <x:f>IF(AND(ISNUMBER(H53),H53&gt;=1,H53&lt;=Comparison!$B$4),1,0)</x:f>
        <x:v>0</x:v>
      </x:c>
      <x:c r="L53" s="11" t="n">
        <x:f>IF(AND(J53=1,D53="Relevant"),1,0)</x:f>
        <x:v>0</x:v>
      </x:c>
      <x:c r="M53" s="11" t="n">
        <x:f>IF(AND(K53=1,D53="Relevant"),1,0)</x:f>
        <x:v>0</x:v>
      </x:c>
      <x:c r="N53" s="11" t="n">
        <x:f>IF(AND(OR(J53=1,K53=1),D53&lt;&gt;"Relevant",D53&lt;&gt;"Not relevant"),1,0)</x:f>
        <x:v>0</x:v>
      </x:c>
      <x:c r="O53" s="11" t="n">
        <x:f>IF(AND(J53=1,F53="Yes"),1,0)</x:f>
        <x:v>0</x:v>
      </x:c>
      <x:c r="P53" s="11" t="n">
        <x:f>IF(AND(K53=1,F53="Yes"),1,0)</x:f>
        <x:v>0</x:v>
      </x:c>
      <x:c r="Q53" s="11" t="n">
        <x:f>IF(F53="Yes",1,0)</x:f>
        <x:v>0</x:v>
      </x:c>
    </x:row>
    <x:row r="54" ht="48" customHeight="1">
      <x:c r="A54" s="15"/>
      <x:c r="B54" s="15"/>
      <x:c r="C54" s="12"/>
      <x:c r="D54" s="12"/>
      <x:c r="E54" s="12"/>
      <x:c r="F54" s="10"/>
      <x:c r="G54" s="10"/>
      <x:c r="H54" s="10"/>
      <x:c r="I54" s="11" t="str">
        <x:f>IF(COUNTA(A54:H54)=0,"",IF(A54="","Missing query ID",IF(COUNTIFS(QueryData[Query ID],"="&amp;SUBSTITUTE(SUBSTITUTE(SUBSTITUTE(A54,"~","~~"),"*","~*"),"?","~?"))=0,"Unknown query ID",IF(B54="","Missing record ID",IF(OR(OR(NOT(ISTEXT(A54)),TRIM(A54)&lt;&gt;A54),OR(NOT(ISTEXT(B54)),TRIM(B54)&lt;&gt;B54)),"IDs must be text without outer spaces",IF(COUNTIFS(RecordData[Query ID],"="&amp;SUBSTITUTE(SUBSTITUTE(SUBSTITUTE(A54,"~","~~"),"*","~*"),"?","~?"),RecordData[Record ID],"="&amp;SUBSTITUTE(SUBSTITUTE(SUBSTITUTE(B54,"~","~~"),"*","~*"),"?","~?"))&gt;1,"Duplicate record ID",IF(OR(IF(G54="",FALSE,IF(ISNUMBER(G54),OR(G54&lt;1,G54&lt;&gt;INT(G54)),TRUE)),IF(H54="",FALSE,IF(ISNUMBER(H54),OR(H54&lt;1,H54&lt;&gt;INT(H54)),TRUE))),"Invalid rank",IF(OR(IF(G54="",FALSE,COUNTIFS(RecordData[Query ID],"="&amp;SUBSTITUTE(SUBSTITUTE(SUBSTITUTE(A54,"~","~~"),"*","~*"),"?","~?"),RecordData[Rank A],G54)&gt;1),IF(H54="",FALSE,COUNTIFS(RecordData[Query ID],"="&amp;SUBSTITUTE(SUBSTITUTE(SUBSTITUTE(A54,"~","~~"),"*","~*"),"?","~?"),RecordData[Rank B],H54)&gt;1)),"Duplicate rank",IF(AND(F54&lt;&gt;"",F54&lt;&gt;"Yes",F54&lt;&gt;"No"),"Invalid seed flag",IF(AND(D54&lt;&gt;"",D54&lt;&gt;"Relevant",D54&lt;&gt;"Not relevant",D54&lt;&gt;"Unjudged"),"Invalid judgement",IF(AND(F54="Yes",D54="Not relevant"),"Seed marked not relevant",IF(AND(G54="",H54="",F54&lt;&gt;"Yes"),"Absent record must be a seed","OK"))))))))))))</x:f>
      </x:c>
      <x:c r="J54" s="11" t="n">
        <x:f>IF(AND(ISNUMBER(G54),G54&gt;=1,G54&lt;=Comparison!$B$4),1,0)</x:f>
        <x:v>0</x:v>
      </x:c>
      <x:c r="K54" s="11" t="n">
        <x:f>IF(AND(ISNUMBER(H54),H54&gt;=1,H54&lt;=Comparison!$B$4),1,0)</x:f>
        <x:v>0</x:v>
      </x:c>
      <x:c r="L54" s="11" t="n">
        <x:f>IF(AND(J54=1,D54="Relevant"),1,0)</x:f>
        <x:v>0</x:v>
      </x:c>
      <x:c r="M54" s="11" t="n">
        <x:f>IF(AND(K54=1,D54="Relevant"),1,0)</x:f>
        <x:v>0</x:v>
      </x:c>
      <x:c r="N54" s="11" t="n">
        <x:f>IF(AND(OR(J54=1,K54=1),D54&lt;&gt;"Relevant",D54&lt;&gt;"Not relevant"),1,0)</x:f>
        <x:v>0</x:v>
      </x:c>
      <x:c r="O54" s="11" t="n">
        <x:f>IF(AND(J54=1,F54="Yes"),1,0)</x:f>
        <x:v>0</x:v>
      </x:c>
      <x:c r="P54" s="11" t="n">
        <x:f>IF(AND(K54=1,F54="Yes"),1,0)</x:f>
        <x:v>0</x:v>
      </x:c>
      <x:c r="Q54" s="11" t="n">
        <x:f>IF(F54="Yes",1,0)</x:f>
        <x:v>0</x:v>
      </x:c>
    </x:row>
    <x:row r="55" ht="48" customHeight="1">
      <x:c r="A55" s="15"/>
      <x:c r="B55" s="15"/>
      <x:c r="C55" s="12"/>
      <x:c r="D55" s="12"/>
      <x:c r="E55" s="12"/>
      <x:c r="F55" s="10"/>
      <x:c r="G55" s="10"/>
      <x:c r="H55" s="10"/>
      <x:c r="I55" s="11" t="str">
        <x:f>IF(COUNTA(A55:H55)=0,"",IF(A55="","Missing query ID",IF(COUNTIFS(QueryData[Query ID],"="&amp;SUBSTITUTE(SUBSTITUTE(SUBSTITUTE(A55,"~","~~"),"*","~*"),"?","~?"))=0,"Unknown query ID",IF(B55="","Missing record ID",IF(OR(OR(NOT(ISTEXT(A55)),TRIM(A55)&lt;&gt;A55),OR(NOT(ISTEXT(B55)),TRIM(B55)&lt;&gt;B55)),"IDs must be text without outer spaces",IF(COUNTIFS(RecordData[Query ID],"="&amp;SUBSTITUTE(SUBSTITUTE(SUBSTITUTE(A55,"~","~~"),"*","~*"),"?","~?"),RecordData[Record ID],"="&amp;SUBSTITUTE(SUBSTITUTE(SUBSTITUTE(B55,"~","~~"),"*","~*"),"?","~?"))&gt;1,"Duplicate record ID",IF(OR(IF(G55="",FALSE,IF(ISNUMBER(G55),OR(G55&lt;1,G55&lt;&gt;INT(G55)),TRUE)),IF(H55="",FALSE,IF(ISNUMBER(H55),OR(H55&lt;1,H55&lt;&gt;INT(H55)),TRUE))),"Invalid rank",IF(OR(IF(G55="",FALSE,COUNTIFS(RecordData[Query ID],"="&amp;SUBSTITUTE(SUBSTITUTE(SUBSTITUTE(A55,"~","~~"),"*","~*"),"?","~?"),RecordData[Rank A],G55)&gt;1),IF(H55="",FALSE,COUNTIFS(RecordData[Query ID],"="&amp;SUBSTITUTE(SUBSTITUTE(SUBSTITUTE(A55,"~","~~"),"*","~*"),"?","~?"),RecordData[Rank B],H55)&gt;1)),"Duplicate rank",IF(AND(F55&lt;&gt;"",F55&lt;&gt;"Yes",F55&lt;&gt;"No"),"Invalid seed flag",IF(AND(D55&lt;&gt;"",D55&lt;&gt;"Relevant",D55&lt;&gt;"Not relevant",D55&lt;&gt;"Unjudged"),"Invalid judgement",IF(AND(F55="Yes",D55="Not relevant"),"Seed marked not relevant",IF(AND(G55="",H55="",F55&lt;&gt;"Yes"),"Absent record must be a seed","OK"))))))))))))</x:f>
      </x:c>
      <x:c r="J55" s="11" t="n">
        <x:f>IF(AND(ISNUMBER(G55),G55&gt;=1,G55&lt;=Comparison!$B$4),1,0)</x:f>
        <x:v>0</x:v>
      </x:c>
      <x:c r="K55" s="11" t="n">
        <x:f>IF(AND(ISNUMBER(H55),H55&gt;=1,H55&lt;=Comparison!$B$4),1,0)</x:f>
        <x:v>0</x:v>
      </x:c>
      <x:c r="L55" s="11" t="n">
        <x:f>IF(AND(J55=1,D55="Relevant"),1,0)</x:f>
        <x:v>0</x:v>
      </x:c>
      <x:c r="M55" s="11" t="n">
        <x:f>IF(AND(K55=1,D55="Relevant"),1,0)</x:f>
        <x:v>0</x:v>
      </x:c>
      <x:c r="N55" s="11" t="n">
        <x:f>IF(AND(OR(J55=1,K55=1),D55&lt;&gt;"Relevant",D55&lt;&gt;"Not relevant"),1,0)</x:f>
        <x:v>0</x:v>
      </x:c>
      <x:c r="O55" s="11" t="n">
        <x:f>IF(AND(J55=1,F55="Yes"),1,0)</x:f>
        <x:v>0</x:v>
      </x:c>
      <x:c r="P55" s="11" t="n">
        <x:f>IF(AND(K55=1,F55="Yes"),1,0)</x:f>
        <x:v>0</x:v>
      </x:c>
      <x:c r="Q55" s="11" t="n">
        <x:f>IF(F55="Yes",1,0)</x:f>
        <x:v>0</x:v>
      </x:c>
    </x:row>
    <x:row r="56" ht="48" customHeight="1">
      <x:c r="A56" s="15"/>
      <x:c r="B56" s="15"/>
      <x:c r="C56" s="12"/>
      <x:c r="D56" s="12"/>
      <x:c r="E56" s="12"/>
      <x:c r="F56" s="10"/>
      <x:c r="G56" s="10"/>
      <x:c r="H56" s="10"/>
      <x:c r="I56" s="11" t="str">
        <x:f>IF(COUNTA(A56:H56)=0,"",IF(A56="","Missing query ID",IF(COUNTIFS(QueryData[Query ID],"="&amp;SUBSTITUTE(SUBSTITUTE(SUBSTITUTE(A56,"~","~~"),"*","~*"),"?","~?"))=0,"Unknown query ID",IF(B56="","Missing record ID",IF(OR(OR(NOT(ISTEXT(A56)),TRIM(A56)&lt;&gt;A56),OR(NOT(ISTEXT(B56)),TRIM(B56)&lt;&gt;B56)),"IDs must be text without outer spaces",IF(COUNTIFS(RecordData[Query ID],"="&amp;SUBSTITUTE(SUBSTITUTE(SUBSTITUTE(A56,"~","~~"),"*","~*"),"?","~?"),RecordData[Record ID],"="&amp;SUBSTITUTE(SUBSTITUTE(SUBSTITUTE(B56,"~","~~"),"*","~*"),"?","~?"))&gt;1,"Duplicate record ID",IF(OR(IF(G56="",FALSE,IF(ISNUMBER(G56),OR(G56&lt;1,G56&lt;&gt;INT(G56)),TRUE)),IF(H56="",FALSE,IF(ISNUMBER(H56),OR(H56&lt;1,H56&lt;&gt;INT(H56)),TRUE))),"Invalid rank",IF(OR(IF(G56="",FALSE,COUNTIFS(RecordData[Query ID],"="&amp;SUBSTITUTE(SUBSTITUTE(SUBSTITUTE(A56,"~","~~"),"*","~*"),"?","~?"),RecordData[Rank A],G56)&gt;1),IF(H56="",FALSE,COUNTIFS(RecordData[Query ID],"="&amp;SUBSTITUTE(SUBSTITUTE(SUBSTITUTE(A56,"~","~~"),"*","~*"),"?","~?"),RecordData[Rank B],H56)&gt;1)),"Duplicate rank",IF(AND(F56&lt;&gt;"",F56&lt;&gt;"Yes",F56&lt;&gt;"No"),"Invalid seed flag",IF(AND(D56&lt;&gt;"",D56&lt;&gt;"Relevant",D56&lt;&gt;"Not relevant",D56&lt;&gt;"Unjudged"),"Invalid judgement",IF(AND(F56="Yes",D56="Not relevant"),"Seed marked not relevant",IF(AND(G56="",H56="",F56&lt;&gt;"Yes"),"Absent record must be a seed","OK"))))))))))))</x:f>
      </x:c>
      <x:c r="J56" s="11" t="n">
        <x:f>IF(AND(ISNUMBER(G56),G56&gt;=1,G56&lt;=Comparison!$B$4),1,0)</x:f>
        <x:v>0</x:v>
      </x:c>
      <x:c r="K56" s="11" t="n">
        <x:f>IF(AND(ISNUMBER(H56),H56&gt;=1,H56&lt;=Comparison!$B$4),1,0)</x:f>
        <x:v>0</x:v>
      </x:c>
      <x:c r="L56" s="11" t="n">
        <x:f>IF(AND(J56=1,D56="Relevant"),1,0)</x:f>
        <x:v>0</x:v>
      </x:c>
      <x:c r="M56" s="11" t="n">
        <x:f>IF(AND(K56=1,D56="Relevant"),1,0)</x:f>
        <x:v>0</x:v>
      </x:c>
      <x:c r="N56" s="11" t="n">
        <x:f>IF(AND(OR(J56=1,K56=1),D56&lt;&gt;"Relevant",D56&lt;&gt;"Not relevant"),1,0)</x:f>
        <x:v>0</x:v>
      </x:c>
      <x:c r="O56" s="11" t="n">
        <x:f>IF(AND(J56=1,F56="Yes"),1,0)</x:f>
        <x:v>0</x:v>
      </x:c>
      <x:c r="P56" s="11" t="n">
        <x:f>IF(AND(K56=1,F56="Yes"),1,0)</x:f>
        <x:v>0</x:v>
      </x:c>
      <x:c r="Q56" s="11" t="n">
        <x:f>IF(F56="Yes",1,0)</x:f>
        <x:v>0</x:v>
      </x:c>
    </x:row>
    <x:row r="57" ht="48" customHeight="1">
      <x:c r="A57" s="15"/>
      <x:c r="B57" s="15"/>
      <x:c r="C57" s="12"/>
      <x:c r="D57" s="12"/>
      <x:c r="E57" s="12"/>
      <x:c r="F57" s="10"/>
      <x:c r="G57" s="10"/>
      <x:c r="H57" s="10"/>
      <x:c r="I57" s="11" t="str">
        <x:f>IF(COUNTA(A57:H57)=0,"",IF(A57="","Missing query ID",IF(COUNTIFS(QueryData[Query ID],"="&amp;SUBSTITUTE(SUBSTITUTE(SUBSTITUTE(A57,"~","~~"),"*","~*"),"?","~?"))=0,"Unknown query ID",IF(B57="","Missing record ID",IF(OR(OR(NOT(ISTEXT(A57)),TRIM(A57)&lt;&gt;A57),OR(NOT(ISTEXT(B57)),TRIM(B57)&lt;&gt;B57)),"IDs must be text without outer spaces",IF(COUNTIFS(RecordData[Query ID],"="&amp;SUBSTITUTE(SUBSTITUTE(SUBSTITUTE(A57,"~","~~"),"*","~*"),"?","~?"),RecordData[Record ID],"="&amp;SUBSTITUTE(SUBSTITUTE(SUBSTITUTE(B57,"~","~~"),"*","~*"),"?","~?"))&gt;1,"Duplicate record ID",IF(OR(IF(G57="",FALSE,IF(ISNUMBER(G57),OR(G57&lt;1,G57&lt;&gt;INT(G57)),TRUE)),IF(H57="",FALSE,IF(ISNUMBER(H57),OR(H57&lt;1,H57&lt;&gt;INT(H57)),TRUE))),"Invalid rank",IF(OR(IF(G57="",FALSE,COUNTIFS(RecordData[Query ID],"="&amp;SUBSTITUTE(SUBSTITUTE(SUBSTITUTE(A57,"~","~~"),"*","~*"),"?","~?"),RecordData[Rank A],G57)&gt;1),IF(H57="",FALSE,COUNTIFS(RecordData[Query ID],"="&amp;SUBSTITUTE(SUBSTITUTE(SUBSTITUTE(A57,"~","~~"),"*","~*"),"?","~?"),RecordData[Rank B],H57)&gt;1)),"Duplicate rank",IF(AND(F57&lt;&gt;"",F57&lt;&gt;"Yes",F57&lt;&gt;"No"),"Invalid seed flag",IF(AND(D57&lt;&gt;"",D57&lt;&gt;"Relevant",D57&lt;&gt;"Not relevant",D57&lt;&gt;"Unjudged"),"Invalid judgement",IF(AND(F57="Yes",D57="Not relevant"),"Seed marked not relevant",IF(AND(G57="",H57="",F57&lt;&gt;"Yes"),"Absent record must be a seed","OK"))))))))))))</x:f>
      </x:c>
      <x:c r="J57" s="11" t="n">
        <x:f>IF(AND(ISNUMBER(G57),G57&gt;=1,G57&lt;=Comparison!$B$4),1,0)</x:f>
        <x:v>0</x:v>
      </x:c>
      <x:c r="K57" s="11" t="n">
        <x:f>IF(AND(ISNUMBER(H57),H57&gt;=1,H57&lt;=Comparison!$B$4),1,0)</x:f>
        <x:v>0</x:v>
      </x:c>
      <x:c r="L57" s="11" t="n">
        <x:f>IF(AND(J57=1,D57="Relevant"),1,0)</x:f>
        <x:v>0</x:v>
      </x:c>
      <x:c r="M57" s="11" t="n">
        <x:f>IF(AND(K57=1,D57="Relevant"),1,0)</x:f>
        <x:v>0</x:v>
      </x:c>
      <x:c r="N57" s="11" t="n">
        <x:f>IF(AND(OR(J57=1,K57=1),D57&lt;&gt;"Relevant",D57&lt;&gt;"Not relevant"),1,0)</x:f>
        <x:v>0</x:v>
      </x:c>
      <x:c r="O57" s="11" t="n">
        <x:f>IF(AND(J57=1,F57="Yes"),1,0)</x:f>
        <x:v>0</x:v>
      </x:c>
      <x:c r="P57" s="11" t="n">
        <x:f>IF(AND(K57=1,F57="Yes"),1,0)</x:f>
        <x:v>0</x:v>
      </x:c>
      <x:c r="Q57" s="11" t="n">
        <x:f>IF(F57="Yes",1,0)</x:f>
        <x:v>0</x:v>
      </x:c>
    </x:row>
    <x:row r="58" ht="48" customHeight="1">
      <x:c r="A58" s="15"/>
      <x:c r="B58" s="15"/>
      <x:c r="C58" s="12"/>
      <x:c r="D58" s="12"/>
      <x:c r="E58" s="12"/>
      <x:c r="F58" s="10"/>
      <x:c r="G58" s="10"/>
      <x:c r="H58" s="10"/>
      <x:c r="I58" s="11" t="str">
        <x:f>IF(COUNTA(A58:H58)=0,"",IF(A58="","Missing query ID",IF(COUNTIFS(QueryData[Query ID],"="&amp;SUBSTITUTE(SUBSTITUTE(SUBSTITUTE(A58,"~","~~"),"*","~*"),"?","~?"))=0,"Unknown query ID",IF(B58="","Missing record ID",IF(OR(OR(NOT(ISTEXT(A58)),TRIM(A58)&lt;&gt;A58),OR(NOT(ISTEXT(B58)),TRIM(B58)&lt;&gt;B58)),"IDs must be text without outer spaces",IF(COUNTIFS(RecordData[Query ID],"="&amp;SUBSTITUTE(SUBSTITUTE(SUBSTITUTE(A58,"~","~~"),"*","~*"),"?","~?"),RecordData[Record ID],"="&amp;SUBSTITUTE(SUBSTITUTE(SUBSTITUTE(B58,"~","~~"),"*","~*"),"?","~?"))&gt;1,"Duplicate record ID",IF(OR(IF(G58="",FALSE,IF(ISNUMBER(G58),OR(G58&lt;1,G58&lt;&gt;INT(G58)),TRUE)),IF(H58="",FALSE,IF(ISNUMBER(H58),OR(H58&lt;1,H58&lt;&gt;INT(H58)),TRUE))),"Invalid rank",IF(OR(IF(G58="",FALSE,COUNTIFS(RecordData[Query ID],"="&amp;SUBSTITUTE(SUBSTITUTE(SUBSTITUTE(A58,"~","~~"),"*","~*"),"?","~?"),RecordData[Rank A],G58)&gt;1),IF(H58="",FALSE,COUNTIFS(RecordData[Query ID],"="&amp;SUBSTITUTE(SUBSTITUTE(SUBSTITUTE(A58,"~","~~"),"*","~*"),"?","~?"),RecordData[Rank B],H58)&gt;1)),"Duplicate rank",IF(AND(F58&lt;&gt;"",F58&lt;&gt;"Yes",F58&lt;&gt;"No"),"Invalid seed flag",IF(AND(D58&lt;&gt;"",D58&lt;&gt;"Relevant",D58&lt;&gt;"Not relevant",D58&lt;&gt;"Unjudged"),"Invalid judgement",IF(AND(F58="Yes",D58="Not relevant"),"Seed marked not relevant",IF(AND(G58="",H58="",F58&lt;&gt;"Yes"),"Absent record must be a seed","OK"))))))))))))</x:f>
      </x:c>
      <x:c r="J58" s="11" t="n">
        <x:f>IF(AND(ISNUMBER(G58),G58&gt;=1,G58&lt;=Comparison!$B$4),1,0)</x:f>
        <x:v>0</x:v>
      </x:c>
      <x:c r="K58" s="11" t="n">
        <x:f>IF(AND(ISNUMBER(H58),H58&gt;=1,H58&lt;=Comparison!$B$4),1,0)</x:f>
        <x:v>0</x:v>
      </x:c>
      <x:c r="L58" s="11" t="n">
        <x:f>IF(AND(J58=1,D58="Relevant"),1,0)</x:f>
        <x:v>0</x:v>
      </x:c>
      <x:c r="M58" s="11" t="n">
        <x:f>IF(AND(K58=1,D58="Relevant"),1,0)</x:f>
        <x:v>0</x:v>
      </x:c>
      <x:c r="N58" s="11" t="n">
        <x:f>IF(AND(OR(J58=1,K58=1),D58&lt;&gt;"Relevant",D58&lt;&gt;"Not relevant"),1,0)</x:f>
        <x:v>0</x:v>
      </x:c>
      <x:c r="O58" s="11" t="n">
        <x:f>IF(AND(J58=1,F58="Yes"),1,0)</x:f>
        <x:v>0</x:v>
      </x:c>
      <x:c r="P58" s="11" t="n">
        <x:f>IF(AND(K58=1,F58="Yes"),1,0)</x:f>
        <x:v>0</x:v>
      </x:c>
      <x:c r="Q58" s="11" t="n">
        <x:f>IF(F58="Yes",1,0)</x:f>
        <x:v>0</x:v>
      </x:c>
    </x:row>
    <x:row r="59" ht="48" customHeight="1">
      <x:c r="A59" s="15"/>
      <x:c r="B59" s="15"/>
      <x:c r="C59" s="12"/>
      <x:c r="D59" s="12"/>
      <x:c r="E59" s="12"/>
      <x:c r="F59" s="10"/>
      <x:c r="G59" s="10"/>
      <x:c r="H59" s="10"/>
      <x:c r="I59" s="11" t="str">
        <x:f>IF(COUNTA(A59:H59)=0,"",IF(A59="","Missing query ID",IF(COUNTIFS(QueryData[Query ID],"="&amp;SUBSTITUTE(SUBSTITUTE(SUBSTITUTE(A59,"~","~~"),"*","~*"),"?","~?"))=0,"Unknown query ID",IF(B59="","Missing record ID",IF(OR(OR(NOT(ISTEXT(A59)),TRIM(A59)&lt;&gt;A59),OR(NOT(ISTEXT(B59)),TRIM(B59)&lt;&gt;B59)),"IDs must be text without outer spaces",IF(COUNTIFS(RecordData[Query ID],"="&amp;SUBSTITUTE(SUBSTITUTE(SUBSTITUTE(A59,"~","~~"),"*","~*"),"?","~?"),RecordData[Record ID],"="&amp;SUBSTITUTE(SUBSTITUTE(SUBSTITUTE(B59,"~","~~"),"*","~*"),"?","~?"))&gt;1,"Duplicate record ID",IF(OR(IF(G59="",FALSE,IF(ISNUMBER(G59),OR(G59&lt;1,G59&lt;&gt;INT(G59)),TRUE)),IF(H59="",FALSE,IF(ISNUMBER(H59),OR(H59&lt;1,H59&lt;&gt;INT(H59)),TRUE))),"Invalid rank",IF(OR(IF(G59="",FALSE,COUNTIFS(RecordData[Query ID],"="&amp;SUBSTITUTE(SUBSTITUTE(SUBSTITUTE(A59,"~","~~"),"*","~*"),"?","~?"),RecordData[Rank A],G59)&gt;1),IF(H59="",FALSE,COUNTIFS(RecordData[Query ID],"="&amp;SUBSTITUTE(SUBSTITUTE(SUBSTITUTE(A59,"~","~~"),"*","~*"),"?","~?"),RecordData[Rank B],H59)&gt;1)),"Duplicate rank",IF(AND(F59&lt;&gt;"",F59&lt;&gt;"Yes",F59&lt;&gt;"No"),"Invalid seed flag",IF(AND(D59&lt;&gt;"",D59&lt;&gt;"Relevant",D59&lt;&gt;"Not relevant",D59&lt;&gt;"Unjudged"),"Invalid judgement",IF(AND(F59="Yes",D59="Not relevant"),"Seed marked not relevant",IF(AND(G59="",H59="",F59&lt;&gt;"Yes"),"Absent record must be a seed","OK"))))))))))))</x:f>
      </x:c>
      <x:c r="J59" s="11" t="n">
        <x:f>IF(AND(ISNUMBER(G59),G59&gt;=1,G59&lt;=Comparison!$B$4),1,0)</x:f>
        <x:v>0</x:v>
      </x:c>
      <x:c r="K59" s="11" t="n">
        <x:f>IF(AND(ISNUMBER(H59),H59&gt;=1,H59&lt;=Comparison!$B$4),1,0)</x:f>
        <x:v>0</x:v>
      </x:c>
      <x:c r="L59" s="11" t="n">
        <x:f>IF(AND(J59=1,D59="Relevant"),1,0)</x:f>
        <x:v>0</x:v>
      </x:c>
      <x:c r="M59" s="11" t="n">
        <x:f>IF(AND(K59=1,D59="Relevant"),1,0)</x:f>
        <x:v>0</x:v>
      </x:c>
      <x:c r="N59" s="11" t="n">
        <x:f>IF(AND(OR(J59=1,K59=1),D59&lt;&gt;"Relevant",D59&lt;&gt;"Not relevant"),1,0)</x:f>
        <x:v>0</x:v>
      </x:c>
      <x:c r="O59" s="11" t="n">
        <x:f>IF(AND(J59=1,F59="Yes"),1,0)</x:f>
        <x:v>0</x:v>
      </x:c>
      <x:c r="P59" s="11" t="n">
        <x:f>IF(AND(K59=1,F59="Yes"),1,0)</x:f>
        <x:v>0</x:v>
      </x:c>
      <x:c r="Q59" s="11" t="n">
        <x:f>IF(F59="Yes",1,0)</x:f>
        <x:v>0</x:v>
      </x:c>
    </x:row>
    <x:row r="60" ht="48" customHeight="1">
      <x:c r="A60" s="15"/>
      <x:c r="B60" s="15"/>
      <x:c r="C60" s="12"/>
      <x:c r="D60" s="12"/>
      <x:c r="E60" s="12"/>
      <x:c r="F60" s="10"/>
      <x:c r="G60" s="10"/>
      <x:c r="H60" s="10"/>
      <x:c r="I60" s="11" t="str">
        <x:f>IF(COUNTA(A60:H60)=0,"",IF(A60="","Missing query ID",IF(COUNTIFS(QueryData[Query ID],"="&amp;SUBSTITUTE(SUBSTITUTE(SUBSTITUTE(A60,"~","~~"),"*","~*"),"?","~?"))=0,"Unknown query ID",IF(B60="","Missing record ID",IF(OR(OR(NOT(ISTEXT(A60)),TRIM(A60)&lt;&gt;A60),OR(NOT(ISTEXT(B60)),TRIM(B60)&lt;&gt;B60)),"IDs must be text without outer spaces",IF(COUNTIFS(RecordData[Query ID],"="&amp;SUBSTITUTE(SUBSTITUTE(SUBSTITUTE(A60,"~","~~"),"*","~*"),"?","~?"),RecordData[Record ID],"="&amp;SUBSTITUTE(SUBSTITUTE(SUBSTITUTE(B60,"~","~~"),"*","~*"),"?","~?"))&gt;1,"Duplicate record ID",IF(OR(IF(G60="",FALSE,IF(ISNUMBER(G60),OR(G60&lt;1,G60&lt;&gt;INT(G60)),TRUE)),IF(H60="",FALSE,IF(ISNUMBER(H60),OR(H60&lt;1,H60&lt;&gt;INT(H60)),TRUE))),"Invalid rank",IF(OR(IF(G60="",FALSE,COUNTIFS(RecordData[Query ID],"="&amp;SUBSTITUTE(SUBSTITUTE(SUBSTITUTE(A60,"~","~~"),"*","~*"),"?","~?"),RecordData[Rank A],G60)&gt;1),IF(H60="",FALSE,COUNTIFS(RecordData[Query ID],"="&amp;SUBSTITUTE(SUBSTITUTE(SUBSTITUTE(A60,"~","~~"),"*","~*"),"?","~?"),RecordData[Rank B],H60)&gt;1)),"Duplicate rank",IF(AND(F60&lt;&gt;"",F60&lt;&gt;"Yes",F60&lt;&gt;"No"),"Invalid seed flag",IF(AND(D60&lt;&gt;"",D60&lt;&gt;"Relevant",D60&lt;&gt;"Not relevant",D60&lt;&gt;"Unjudged"),"Invalid judgement",IF(AND(F60="Yes",D60="Not relevant"),"Seed marked not relevant",IF(AND(G60="",H60="",F60&lt;&gt;"Yes"),"Absent record must be a seed","OK"))))))))))))</x:f>
      </x:c>
      <x:c r="J60" s="11" t="n">
        <x:f>IF(AND(ISNUMBER(G60),G60&gt;=1,G60&lt;=Comparison!$B$4),1,0)</x:f>
        <x:v>0</x:v>
      </x:c>
      <x:c r="K60" s="11" t="n">
        <x:f>IF(AND(ISNUMBER(H60),H60&gt;=1,H60&lt;=Comparison!$B$4),1,0)</x:f>
        <x:v>0</x:v>
      </x:c>
      <x:c r="L60" s="11" t="n">
        <x:f>IF(AND(J60=1,D60="Relevant"),1,0)</x:f>
        <x:v>0</x:v>
      </x:c>
      <x:c r="M60" s="11" t="n">
        <x:f>IF(AND(K60=1,D60="Relevant"),1,0)</x:f>
        <x:v>0</x:v>
      </x:c>
      <x:c r="N60" s="11" t="n">
        <x:f>IF(AND(OR(J60=1,K60=1),D60&lt;&gt;"Relevant",D60&lt;&gt;"Not relevant"),1,0)</x:f>
        <x:v>0</x:v>
      </x:c>
      <x:c r="O60" s="11" t="n">
        <x:f>IF(AND(J60=1,F60="Yes"),1,0)</x:f>
        <x:v>0</x:v>
      </x:c>
      <x:c r="P60" s="11" t="n">
        <x:f>IF(AND(K60=1,F60="Yes"),1,0)</x:f>
        <x:v>0</x:v>
      </x:c>
      <x:c r="Q60" s="11" t="n">
        <x:f>IF(F60="Yes",1,0)</x:f>
        <x:v>0</x:v>
      </x:c>
    </x:row>
    <x:row r="61" ht="48" customHeight="1">
      <x:c r="A61" s="15"/>
      <x:c r="B61" s="15"/>
      <x:c r="C61" s="12"/>
      <x:c r="D61" s="12"/>
      <x:c r="E61" s="12"/>
      <x:c r="F61" s="10"/>
      <x:c r="G61" s="10"/>
      <x:c r="H61" s="10"/>
      <x:c r="I61" s="11" t="str">
        <x:f>IF(COUNTA(A61:H61)=0,"",IF(A61="","Missing query ID",IF(COUNTIFS(QueryData[Query ID],"="&amp;SUBSTITUTE(SUBSTITUTE(SUBSTITUTE(A61,"~","~~"),"*","~*"),"?","~?"))=0,"Unknown query ID",IF(B61="","Missing record ID",IF(OR(OR(NOT(ISTEXT(A61)),TRIM(A61)&lt;&gt;A61),OR(NOT(ISTEXT(B61)),TRIM(B61)&lt;&gt;B61)),"IDs must be text without outer spaces",IF(COUNTIFS(RecordData[Query ID],"="&amp;SUBSTITUTE(SUBSTITUTE(SUBSTITUTE(A61,"~","~~"),"*","~*"),"?","~?"),RecordData[Record ID],"="&amp;SUBSTITUTE(SUBSTITUTE(SUBSTITUTE(B61,"~","~~"),"*","~*"),"?","~?"))&gt;1,"Duplicate record ID",IF(OR(IF(G61="",FALSE,IF(ISNUMBER(G61),OR(G61&lt;1,G61&lt;&gt;INT(G61)),TRUE)),IF(H61="",FALSE,IF(ISNUMBER(H61),OR(H61&lt;1,H61&lt;&gt;INT(H61)),TRUE))),"Invalid rank",IF(OR(IF(G61="",FALSE,COUNTIFS(RecordData[Query ID],"="&amp;SUBSTITUTE(SUBSTITUTE(SUBSTITUTE(A61,"~","~~"),"*","~*"),"?","~?"),RecordData[Rank A],G61)&gt;1),IF(H61="",FALSE,COUNTIFS(RecordData[Query ID],"="&amp;SUBSTITUTE(SUBSTITUTE(SUBSTITUTE(A61,"~","~~"),"*","~*"),"?","~?"),RecordData[Rank B],H61)&gt;1)),"Duplicate rank",IF(AND(F61&lt;&gt;"",F61&lt;&gt;"Yes",F61&lt;&gt;"No"),"Invalid seed flag",IF(AND(D61&lt;&gt;"",D61&lt;&gt;"Relevant",D61&lt;&gt;"Not relevant",D61&lt;&gt;"Unjudged"),"Invalid judgement",IF(AND(F61="Yes",D61="Not relevant"),"Seed marked not relevant",IF(AND(G61="",H61="",F61&lt;&gt;"Yes"),"Absent record must be a seed","OK"))))))))))))</x:f>
      </x:c>
      <x:c r="J61" s="11" t="n">
        <x:f>IF(AND(ISNUMBER(G61),G61&gt;=1,G61&lt;=Comparison!$B$4),1,0)</x:f>
        <x:v>0</x:v>
      </x:c>
      <x:c r="K61" s="11" t="n">
        <x:f>IF(AND(ISNUMBER(H61),H61&gt;=1,H61&lt;=Comparison!$B$4),1,0)</x:f>
        <x:v>0</x:v>
      </x:c>
      <x:c r="L61" s="11" t="n">
        <x:f>IF(AND(J61=1,D61="Relevant"),1,0)</x:f>
        <x:v>0</x:v>
      </x:c>
      <x:c r="M61" s="11" t="n">
        <x:f>IF(AND(K61=1,D61="Relevant"),1,0)</x:f>
        <x:v>0</x:v>
      </x:c>
      <x:c r="N61" s="11" t="n">
        <x:f>IF(AND(OR(J61=1,K61=1),D61&lt;&gt;"Relevant",D61&lt;&gt;"Not relevant"),1,0)</x:f>
        <x:v>0</x:v>
      </x:c>
      <x:c r="O61" s="11" t="n">
        <x:f>IF(AND(J61=1,F61="Yes"),1,0)</x:f>
        <x:v>0</x:v>
      </x:c>
      <x:c r="P61" s="11" t="n">
        <x:f>IF(AND(K61=1,F61="Yes"),1,0)</x:f>
        <x:v>0</x:v>
      </x:c>
      <x:c r="Q61" s="11" t="n">
        <x:f>IF(F61="Yes",1,0)</x:f>
        <x:v>0</x:v>
      </x:c>
    </x:row>
    <x:row r="62" ht="48" customHeight="1">
      <x:c r="A62" s="15"/>
      <x:c r="B62" s="15"/>
      <x:c r="C62" s="12"/>
      <x:c r="D62" s="12"/>
      <x:c r="E62" s="12"/>
      <x:c r="F62" s="10"/>
      <x:c r="G62" s="10"/>
      <x:c r="H62" s="10"/>
      <x:c r="I62" s="11" t="str">
        <x:f>IF(COUNTA(A62:H62)=0,"",IF(A62="","Missing query ID",IF(COUNTIFS(QueryData[Query ID],"="&amp;SUBSTITUTE(SUBSTITUTE(SUBSTITUTE(A62,"~","~~"),"*","~*"),"?","~?"))=0,"Unknown query ID",IF(B62="","Missing record ID",IF(OR(OR(NOT(ISTEXT(A62)),TRIM(A62)&lt;&gt;A62),OR(NOT(ISTEXT(B62)),TRIM(B62)&lt;&gt;B62)),"IDs must be text without outer spaces",IF(COUNTIFS(RecordData[Query ID],"="&amp;SUBSTITUTE(SUBSTITUTE(SUBSTITUTE(A62,"~","~~"),"*","~*"),"?","~?"),RecordData[Record ID],"="&amp;SUBSTITUTE(SUBSTITUTE(SUBSTITUTE(B62,"~","~~"),"*","~*"),"?","~?"))&gt;1,"Duplicate record ID",IF(OR(IF(G62="",FALSE,IF(ISNUMBER(G62),OR(G62&lt;1,G62&lt;&gt;INT(G62)),TRUE)),IF(H62="",FALSE,IF(ISNUMBER(H62),OR(H62&lt;1,H62&lt;&gt;INT(H62)),TRUE))),"Invalid rank",IF(OR(IF(G62="",FALSE,COUNTIFS(RecordData[Query ID],"="&amp;SUBSTITUTE(SUBSTITUTE(SUBSTITUTE(A62,"~","~~"),"*","~*"),"?","~?"),RecordData[Rank A],G62)&gt;1),IF(H62="",FALSE,COUNTIFS(RecordData[Query ID],"="&amp;SUBSTITUTE(SUBSTITUTE(SUBSTITUTE(A62,"~","~~"),"*","~*"),"?","~?"),RecordData[Rank B],H62)&gt;1)),"Duplicate rank",IF(AND(F62&lt;&gt;"",F62&lt;&gt;"Yes",F62&lt;&gt;"No"),"Invalid seed flag",IF(AND(D62&lt;&gt;"",D62&lt;&gt;"Relevant",D62&lt;&gt;"Not relevant",D62&lt;&gt;"Unjudged"),"Invalid judgement",IF(AND(F62="Yes",D62="Not relevant"),"Seed marked not relevant",IF(AND(G62="",H62="",F62&lt;&gt;"Yes"),"Absent record must be a seed","OK"))))))))))))</x:f>
      </x:c>
      <x:c r="J62" s="11" t="n">
        <x:f>IF(AND(ISNUMBER(G62),G62&gt;=1,G62&lt;=Comparison!$B$4),1,0)</x:f>
        <x:v>0</x:v>
      </x:c>
      <x:c r="K62" s="11" t="n">
        <x:f>IF(AND(ISNUMBER(H62),H62&gt;=1,H62&lt;=Comparison!$B$4),1,0)</x:f>
        <x:v>0</x:v>
      </x:c>
      <x:c r="L62" s="11" t="n">
        <x:f>IF(AND(J62=1,D62="Relevant"),1,0)</x:f>
        <x:v>0</x:v>
      </x:c>
      <x:c r="M62" s="11" t="n">
        <x:f>IF(AND(K62=1,D62="Relevant"),1,0)</x:f>
        <x:v>0</x:v>
      </x:c>
      <x:c r="N62" s="11" t="n">
        <x:f>IF(AND(OR(J62=1,K62=1),D62&lt;&gt;"Relevant",D62&lt;&gt;"Not relevant"),1,0)</x:f>
        <x:v>0</x:v>
      </x:c>
      <x:c r="O62" s="11" t="n">
        <x:f>IF(AND(J62=1,F62="Yes"),1,0)</x:f>
        <x:v>0</x:v>
      </x:c>
      <x:c r="P62" s="11" t="n">
        <x:f>IF(AND(K62=1,F62="Yes"),1,0)</x:f>
        <x:v>0</x:v>
      </x:c>
      <x:c r="Q62" s="11" t="n">
        <x:f>IF(F62="Yes",1,0)</x:f>
        <x:v>0</x:v>
      </x:c>
    </x:row>
    <x:row r="63" ht="48" customHeight="1">
      <x:c r="A63" s="15"/>
      <x:c r="B63" s="15"/>
      <x:c r="C63" s="12"/>
      <x:c r="D63" s="12"/>
      <x:c r="E63" s="12"/>
      <x:c r="F63" s="10"/>
      <x:c r="G63" s="10"/>
      <x:c r="H63" s="10"/>
      <x:c r="I63" s="11" t="str">
        <x:f>IF(COUNTA(A63:H63)=0,"",IF(A63="","Missing query ID",IF(COUNTIFS(QueryData[Query ID],"="&amp;SUBSTITUTE(SUBSTITUTE(SUBSTITUTE(A63,"~","~~"),"*","~*"),"?","~?"))=0,"Unknown query ID",IF(B63="","Missing record ID",IF(OR(OR(NOT(ISTEXT(A63)),TRIM(A63)&lt;&gt;A63),OR(NOT(ISTEXT(B63)),TRIM(B63)&lt;&gt;B63)),"IDs must be text without outer spaces",IF(COUNTIFS(RecordData[Query ID],"="&amp;SUBSTITUTE(SUBSTITUTE(SUBSTITUTE(A63,"~","~~"),"*","~*"),"?","~?"),RecordData[Record ID],"="&amp;SUBSTITUTE(SUBSTITUTE(SUBSTITUTE(B63,"~","~~"),"*","~*"),"?","~?"))&gt;1,"Duplicate record ID",IF(OR(IF(G63="",FALSE,IF(ISNUMBER(G63),OR(G63&lt;1,G63&lt;&gt;INT(G63)),TRUE)),IF(H63="",FALSE,IF(ISNUMBER(H63),OR(H63&lt;1,H63&lt;&gt;INT(H63)),TRUE))),"Invalid rank",IF(OR(IF(G63="",FALSE,COUNTIFS(RecordData[Query ID],"="&amp;SUBSTITUTE(SUBSTITUTE(SUBSTITUTE(A63,"~","~~"),"*","~*"),"?","~?"),RecordData[Rank A],G63)&gt;1),IF(H63="",FALSE,COUNTIFS(RecordData[Query ID],"="&amp;SUBSTITUTE(SUBSTITUTE(SUBSTITUTE(A63,"~","~~"),"*","~*"),"?","~?"),RecordData[Rank B],H63)&gt;1)),"Duplicate rank",IF(AND(F63&lt;&gt;"",F63&lt;&gt;"Yes",F63&lt;&gt;"No"),"Invalid seed flag",IF(AND(D63&lt;&gt;"",D63&lt;&gt;"Relevant",D63&lt;&gt;"Not relevant",D63&lt;&gt;"Unjudged"),"Invalid judgement",IF(AND(F63="Yes",D63="Not relevant"),"Seed marked not relevant",IF(AND(G63="",H63="",F63&lt;&gt;"Yes"),"Absent record must be a seed","OK"))))))))))))</x:f>
      </x:c>
      <x:c r="J63" s="11" t="n">
        <x:f>IF(AND(ISNUMBER(G63),G63&gt;=1,G63&lt;=Comparison!$B$4),1,0)</x:f>
        <x:v>0</x:v>
      </x:c>
      <x:c r="K63" s="11" t="n">
        <x:f>IF(AND(ISNUMBER(H63),H63&gt;=1,H63&lt;=Comparison!$B$4),1,0)</x:f>
        <x:v>0</x:v>
      </x:c>
      <x:c r="L63" s="11" t="n">
        <x:f>IF(AND(J63=1,D63="Relevant"),1,0)</x:f>
        <x:v>0</x:v>
      </x:c>
      <x:c r="M63" s="11" t="n">
        <x:f>IF(AND(K63=1,D63="Relevant"),1,0)</x:f>
        <x:v>0</x:v>
      </x:c>
      <x:c r="N63" s="11" t="n">
        <x:f>IF(AND(OR(J63=1,K63=1),D63&lt;&gt;"Relevant",D63&lt;&gt;"Not relevant"),1,0)</x:f>
        <x:v>0</x:v>
      </x:c>
      <x:c r="O63" s="11" t="n">
        <x:f>IF(AND(J63=1,F63="Yes"),1,0)</x:f>
        <x:v>0</x:v>
      </x:c>
      <x:c r="P63" s="11" t="n">
        <x:f>IF(AND(K63=1,F63="Yes"),1,0)</x:f>
        <x:v>0</x:v>
      </x:c>
      <x:c r="Q63" s="11" t="n">
        <x:f>IF(F63="Yes",1,0)</x:f>
        <x:v>0</x:v>
      </x:c>
    </x:row>
    <x:row r="64" ht="48" customHeight="1">
      <x:c r="A64" s="15"/>
      <x:c r="B64" s="15"/>
      <x:c r="C64" s="12"/>
      <x:c r="D64" s="12"/>
      <x:c r="E64" s="12"/>
      <x:c r="F64" s="10"/>
      <x:c r="G64" s="10"/>
      <x:c r="H64" s="10"/>
      <x:c r="I64" s="11" t="str">
        <x:f>IF(COUNTA(A64:H64)=0,"",IF(A64="","Missing query ID",IF(COUNTIFS(QueryData[Query ID],"="&amp;SUBSTITUTE(SUBSTITUTE(SUBSTITUTE(A64,"~","~~"),"*","~*"),"?","~?"))=0,"Unknown query ID",IF(B64="","Missing record ID",IF(OR(OR(NOT(ISTEXT(A64)),TRIM(A64)&lt;&gt;A64),OR(NOT(ISTEXT(B64)),TRIM(B64)&lt;&gt;B64)),"IDs must be text without outer spaces",IF(COUNTIFS(RecordData[Query ID],"="&amp;SUBSTITUTE(SUBSTITUTE(SUBSTITUTE(A64,"~","~~"),"*","~*"),"?","~?"),RecordData[Record ID],"="&amp;SUBSTITUTE(SUBSTITUTE(SUBSTITUTE(B64,"~","~~"),"*","~*"),"?","~?"))&gt;1,"Duplicate record ID",IF(OR(IF(G64="",FALSE,IF(ISNUMBER(G64),OR(G64&lt;1,G64&lt;&gt;INT(G64)),TRUE)),IF(H64="",FALSE,IF(ISNUMBER(H64),OR(H64&lt;1,H64&lt;&gt;INT(H64)),TRUE))),"Invalid rank",IF(OR(IF(G64="",FALSE,COUNTIFS(RecordData[Query ID],"="&amp;SUBSTITUTE(SUBSTITUTE(SUBSTITUTE(A64,"~","~~"),"*","~*"),"?","~?"),RecordData[Rank A],G64)&gt;1),IF(H64="",FALSE,COUNTIFS(RecordData[Query ID],"="&amp;SUBSTITUTE(SUBSTITUTE(SUBSTITUTE(A64,"~","~~"),"*","~*"),"?","~?"),RecordData[Rank B],H64)&gt;1)),"Duplicate rank",IF(AND(F64&lt;&gt;"",F64&lt;&gt;"Yes",F64&lt;&gt;"No"),"Invalid seed flag",IF(AND(D64&lt;&gt;"",D64&lt;&gt;"Relevant",D64&lt;&gt;"Not relevant",D64&lt;&gt;"Unjudged"),"Invalid judgement",IF(AND(F64="Yes",D64="Not relevant"),"Seed marked not relevant",IF(AND(G64="",H64="",F64&lt;&gt;"Yes"),"Absent record must be a seed","OK"))))))))))))</x:f>
      </x:c>
      <x:c r="J64" s="11" t="n">
        <x:f>IF(AND(ISNUMBER(G64),G64&gt;=1,G64&lt;=Comparison!$B$4),1,0)</x:f>
        <x:v>0</x:v>
      </x:c>
      <x:c r="K64" s="11" t="n">
        <x:f>IF(AND(ISNUMBER(H64),H64&gt;=1,H64&lt;=Comparison!$B$4),1,0)</x:f>
        <x:v>0</x:v>
      </x:c>
      <x:c r="L64" s="11" t="n">
        <x:f>IF(AND(J64=1,D64="Relevant"),1,0)</x:f>
        <x:v>0</x:v>
      </x:c>
      <x:c r="M64" s="11" t="n">
        <x:f>IF(AND(K64=1,D64="Relevant"),1,0)</x:f>
        <x:v>0</x:v>
      </x:c>
      <x:c r="N64" s="11" t="n">
        <x:f>IF(AND(OR(J64=1,K64=1),D64&lt;&gt;"Relevant",D64&lt;&gt;"Not relevant"),1,0)</x:f>
        <x:v>0</x:v>
      </x:c>
      <x:c r="O64" s="11" t="n">
        <x:f>IF(AND(J64=1,F64="Yes"),1,0)</x:f>
        <x:v>0</x:v>
      </x:c>
      <x:c r="P64" s="11" t="n">
        <x:f>IF(AND(K64=1,F64="Yes"),1,0)</x:f>
        <x:v>0</x:v>
      </x:c>
      <x:c r="Q64" s="11" t="n">
        <x:f>IF(F64="Yes",1,0)</x:f>
        <x:v>0</x:v>
      </x:c>
    </x:row>
    <x:row r="65" ht="48" customHeight="1">
      <x:c r="A65" s="15"/>
      <x:c r="B65" s="15"/>
      <x:c r="C65" s="12"/>
      <x:c r="D65" s="12"/>
      <x:c r="E65" s="12"/>
      <x:c r="F65" s="10"/>
      <x:c r="G65" s="10"/>
      <x:c r="H65" s="10"/>
      <x:c r="I65" s="11" t="str">
        <x:f>IF(COUNTA(A65:H65)=0,"",IF(A65="","Missing query ID",IF(COUNTIFS(QueryData[Query ID],"="&amp;SUBSTITUTE(SUBSTITUTE(SUBSTITUTE(A65,"~","~~"),"*","~*"),"?","~?"))=0,"Unknown query ID",IF(B65="","Missing record ID",IF(OR(OR(NOT(ISTEXT(A65)),TRIM(A65)&lt;&gt;A65),OR(NOT(ISTEXT(B65)),TRIM(B65)&lt;&gt;B65)),"IDs must be text without outer spaces",IF(COUNTIFS(RecordData[Query ID],"="&amp;SUBSTITUTE(SUBSTITUTE(SUBSTITUTE(A65,"~","~~"),"*","~*"),"?","~?"),RecordData[Record ID],"="&amp;SUBSTITUTE(SUBSTITUTE(SUBSTITUTE(B65,"~","~~"),"*","~*"),"?","~?"))&gt;1,"Duplicate record ID",IF(OR(IF(G65="",FALSE,IF(ISNUMBER(G65),OR(G65&lt;1,G65&lt;&gt;INT(G65)),TRUE)),IF(H65="",FALSE,IF(ISNUMBER(H65),OR(H65&lt;1,H65&lt;&gt;INT(H65)),TRUE))),"Invalid rank",IF(OR(IF(G65="",FALSE,COUNTIFS(RecordData[Query ID],"="&amp;SUBSTITUTE(SUBSTITUTE(SUBSTITUTE(A65,"~","~~"),"*","~*"),"?","~?"),RecordData[Rank A],G65)&gt;1),IF(H65="",FALSE,COUNTIFS(RecordData[Query ID],"="&amp;SUBSTITUTE(SUBSTITUTE(SUBSTITUTE(A65,"~","~~"),"*","~*"),"?","~?"),RecordData[Rank B],H65)&gt;1)),"Duplicate rank",IF(AND(F65&lt;&gt;"",F65&lt;&gt;"Yes",F65&lt;&gt;"No"),"Invalid seed flag",IF(AND(D65&lt;&gt;"",D65&lt;&gt;"Relevant",D65&lt;&gt;"Not relevant",D65&lt;&gt;"Unjudged"),"Invalid judgement",IF(AND(F65="Yes",D65="Not relevant"),"Seed marked not relevant",IF(AND(G65="",H65="",F65&lt;&gt;"Yes"),"Absent record must be a seed","OK"))))))))))))</x:f>
      </x:c>
      <x:c r="J65" s="11" t="n">
        <x:f>IF(AND(ISNUMBER(G65),G65&gt;=1,G65&lt;=Comparison!$B$4),1,0)</x:f>
        <x:v>0</x:v>
      </x:c>
      <x:c r="K65" s="11" t="n">
        <x:f>IF(AND(ISNUMBER(H65),H65&gt;=1,H65&lt;=Comparison!$B$4),1,0)</x:f>
        <x:v>0</x:v>
      </x:c>
      <x:c r="L65" s="11" t="n">
        <x:f>IF(AND(J65=1,D65="Relevant"),1,0)</x:f>
        <x:v>0</x:v>
      </x:c>
      <x:c r="M65" s="11" t="n">
        <x:f>IF(AND(K65=1,D65="Relevant"),1,0)</x:f>
        <x:v>0</x:v>
      </x:c>
      <x:c r="N65" s="11" t="n">
        <x:f>IF(AND(OR(J65=1,K65=1),D65&lt;&gt;"Relevant",D65&lt;&gt;"Not relevant"),1,0)</x:f>
        <x:v>0</x:v>
      </x:c>
      <x:c r="O65" s="11" t="n">
        <x:f>IF(AND(J65=1,F65="Yes"),1,0)</x:f>
        <x:v>0</x:v>
      </x:c>
      <x:c r="P65" s="11" t="n">
        <x:f>IF(AND(K65=1,F65="Yes"),1,0)</x:f>
        <x:v>0</x:v>
      </x:c>
      <x:c r="Q65" s="11" t="n">
        <x:f>IF(F65="Yes",1,0)</x:f>
        <x:v>0</x:v>
      </x:c>
    </x:row>
    <x:row r="66" ht="48" customHeight="1">
      <x:c r="A66" s="15"/>
      <x:c r="B66" s="15"/>
      <x:c r="C66" s="12"/>
      <x:c r="D66" s="12"/>
      <x:c r="E66" s="12"/>
      <x:c r="F66" s="10"/>
      <x:c r="G66" s="10"/>
      <x:c r="H66" s="10"/>
      <x:c r="I66" s="11" t="str">
        <x:f>IF(COUNTA(A66:H66)=0,"",IF(A66="","Missing query ID",IF(COUNTIFS(QueryData[Query ID],"="&amp;SUBSTITUTE(SUBSTITUTE(SUBSTITUTE(A66,"~","~~"),"*","~*"),"?","~?"))=0,"Unknown query ID",IF(B66="","Missing record ID",IF(OR(OR(NOT(ISTEXT(A66)),TRIM(A66)&lt;&gt;A66),OR(NOT(ISTEXT(B66)),TRIM(B66)&lt;&gt;B66)),"IDs must be text without outer spaces",IF(COUNTIFS(RecordData[Query ID],"="&amp;SUBSTITUTE(SUBSTITUTE(SUBSTITUTE(A66,"~","~~"),"*","~*"),"?","~?"),RecordData[Record ID],"="&amp;SUBSTITUTE(SUBSTITUTE(SUBSTITUTE(B66,"~","~~"),"*","~*"),"?","~?"))&gt;1,"Duplicate record ID",IF(OR(IF(G66="",FALSE,IF(ISNUMBER(G66),OR(G66&lt;1,G66&lt;&gt;INT(G66)),TRUE)),IF(H66="",FALSE,IF(ISNUMBER(H66),OR(H66&lt;1,H66&lt;&gt;INT(H66)),TRUE))),"Invalid rank",IF(OR(IF(G66="",FALSE,COUNTIFS(RecordData[Query ID],"="&amp;SUBSTITUTE(SUBSTITUTE(SUBSTITUTE(A66,"~","~~"),"*","~*"),"?","~?"),RecordData[Rank A],G66)&gt;1),IF(H66="",FALSE,COUNTIFS(RecordData[Query ID],"="&amp;SUBSTITUTE(SUBSTITUTE(SUBSTITUTE(A66,"~","~~"),"*","~*"),"?","~?"),RecordData[Rank B],H66)&gt;1)),"Duplicate rank",IF(AND(F66&lt;&gt;"",F66&lt;&gt;"Yes",F66&lt;&gt;"No"),"Invalid seed flag",IF(AND(D66&lt;&gt;"",D66&lt;&gt;"Relevant",D66&lt;&gt;"Not relevant",D66&lt;&gt;"Unjudged"),"Invalid judgement",IF(AND(F66="Yes",D66="Not relevant"),"Seed marked not relevant",IF(AND(G66="",H66="",F66&lt;&gt;"Yes"),"Absent record must be a seed","OK"))))))))))))</x:f>
      </x:c>
      <x:c r="J66" s="11" t="n">
        <x:f>IF(AND(ISNUMBER(G66),G66&gt;=1,G66&lt;=Comparison!$B$4),1,0)</x:f>
        <x:v>0</x:v>
      </x:c>
      <x:c r="K66" s="11" t="n">
        <x:f>IF(AND(ISNUMBER(H66),H66&gt;=1,H66&lt;=Comparison!$B$4),1,0)</x:f>
        <x:v>0</x:v>
      </x:c>
      <x:c r="L66" s="11" t="n">
        <x:f>IF(AND(J66=1,D66="Relevant"),1,0)</x:f>
        <x:v>0</x:v>
      </x:c>
      <x:c r="M66" s="11" t="n">
        <x:f>IF(AND(K66=1,D66="Relevant"),1,0)</x:f>
        <x:v>0</x:v>
      </x:c>
      <x:c r="N66" s="11" t="n">
        <x:f>IF(AND(OR(J66=1,K66=1),D66&lt;&gt;"Relevant",D66&lt;&gt;"Not relevant"),1,0)</x:f>
        <x:v>0</x:v>
      </x:c>
      <x:c r="O66" s="11" t="n">
        <x:f>IF(AND(J66=1,F66="Yes"),1,0)</x:f>
        <x:v>0</x:v>
      </x:c>
      <x:c r="P66" s="11" t="n">
        <x:f>IF(AND(K66=1,F66="Yes"),1,0)</x:f>
        <x:v>0</x:v>
      </x:c>
      <x:c r="Q66" s="11" t="n">
        <x:f>IF(F66="Yes",1,0)</x:f>
        <x:v>0</x:v>
      </x:c>
    </x:row>
    <x:row r="67" ht="48" customHeight="1">
      <x:c r="A67" s="15"/>
      <x:c r="B67" s="15"/>
      <x:c r="C67" s="12"/>
      <x:c r="D67" s="12"/>
      <x:c r="E67" s="12"/>
      <x:c r="F67" s="10"/>
      <x:c r="G67" s="10"/>
      <x:c r="H67" s="10"/>
      <x:c r="I67" s="11" t="str">
        <x:f>IF(COUNTA(A67:H67)=0,"",IF(A67="","Missing query ID",IF(COUNTIFS(QueryData[Query ID],"="&amp;SUBSTITUTE(SUBSTITUTE(SUBSTITUTE(A67,"~","~~"),"*","~*"),"?","~?"))=0,"Unknown query ID",IF(B67="","Missing record ID",IF(OR(OR(NOT(ISTEXT(A67)),TRIM(A67)&lt;&gt;A67),OR(NOT(ISTEXT(B67)),TRIM(B67)&lt;&gt;B67)),"IDs must be text without outer spaces",IF(COUNTIFS(RecordData[Query ID],"="&amp;SUBSTITUTE(SUBSTITUTE(SUBSTITUTE(A67,"~","~~"),"*","~*"),"?","~?"),RecordData[Record ID],"="&amp;SUBSTITUTE(SUBSTITUTE(SUBSTITUTE(B67,"~","~~"),"*","~*"),"?","~?"))&gt;1,"Duplicate record ID",IF(OR(IF(G67="",FALSE,IF(ISNUMBER(G67),OR(G67&lt;1,G67&lt;&gt;INT(G67)),TRUE)),IF(H67="",FALSE,IF(ISNUMBER(H67),OR(H67&lt;1,H67&lt;&gt;INT(H67)),TRUE))),"Invalid rank",IF(OR(IF(G67="",FALSE,COUNTIFS(RecordData[Query ID],"="&amp;SUBSTITUTE(SUBSTITUTE(SUBSTITUTE(A67,"~","~~"),"*","~*"),"?","~?"),RecordData[Rank A],G67)&gt;1),IF(H67="",FALSE,COUNTIFS(RecordData[Query ID],"="&amp;SUBSTITUTE(SUBSTITUTE(SUBSTITUTE(A67,"~","~~"),"*","~*"),"?","~?"),RecordData[Rank B],H67)&gt;1)),"Duplicate rank",IF(AND(F67&lt;&gt;"",F67&lt;&gt;"Yes",F67&lt;&gt;"No"),"Invalid seed flag",IF(AND(D67&lt;&gt;"",D67&lt;&gt;"Relevant",D67&lt;&gt;"Not relevant",D67&lt;&gt;"Unjudged"),"Invalid judgement",IF(AND(F67="Yes",D67="Not relevant"),"Seed marked not relevant",IF(AND(G67="",H67="",F67&lt;&gt;"Yes"),"Absent record must be a seed","OK"))))))))))))</x:f>
      </x:c>
      <x:c r="J67" s="11" t="n">
        <x:f>IF(AND(ISNUMBER(G67),G67&gt;=1,G67&lt;=Comparison!$B$4),1,0)</x:f>
        <x:v>0</x:v>
      </x:c>
      <x:c r="K67" s="11" t="n">
        <x:f>IF(AND(ISNUMBER(H67),H67&gt;=1,H67&lt;=Comparison!$B$4),1,0)</x:f>
        <x:v>0</x:v>
      </x:c>
      <x:c r="L67" s="11" t="n">
        <x:f>IF(AND(J67=1,D67="Relevant"),1,0)</x:f>
        <x:v>0</x:v>
      </x:c>
      <x:c r="M67" s="11" t="n">
        <x:f>IF(AND(K67=1,D67="Relevant"),1,0)</x:f>
        <x:v>0</x:v>
      </x:c>
      <x:c r="N67" s="11" t="n">
        <x:f>IF(AND(OR(J67=1,K67=1),D67&lt;&gt;"Relevant",D67&lt;&gt;"Not relevant"),1,0)</x:f>
        <x:v>0</x:v>
      </x:c>
      <x:c r="O67" s="11" t="n">
        <x:f>IF(AND(J67=1,F67="Yes"),1,0)</x:f>
        <x:v>0</x:v>
      </x:c>
      <x:c r="P67" s="11" t="n">
        <x:f>IF(AND(K67=1,F67="Yes"),1,0)</x:f>
        <x:v>0</x:v>
      </x:c>
      <x:c r="Q67" s="11" t="n">
        <x:f>IF(F67="Yes",1,0)</x:f>
        <x:v>0</x:v>
      </x:c>
    </x:row>
    <x:row r="68" ht="48" customHeight="1">
      <x:c r="A68" s="15"/>
      <x:c r="B68" s="15"/>
      <x:c r="C68" s="12"/>
      <x:c r="D68" s="12"/>
      <x:c r="E68" s="12"/>
      <x:c r="F68" s="10"/>
      <x:c r="G68" s="10"/>
      <x:c r="H68" s="10"/>
      <x:c r="I68" s="11" t="str">
        <x:f>IF(COUNTA(A68:H68)=0,"",IF(A68="","Missing query ID",IF(COUNTIFS(QueryData[Query ID],"="&amp;SUBSTITUTE(SUBSTITUTE(SUBSTITUTE(A68,"~","~~"),"*","~*"),"?","~?"))=0,"Unknown query ID",IF(B68="","Missing record ID",IF(OR(OR(NOT(ISTEXT(A68)),TRIM(A68)&lt;&gt;A68),OR(NOT(ISTEXT(B68)),TRIM(B68)&lt;&gt;B68)),"IDs must be text without outer spaces",IF(COUNTIFS(RecordData[Query ID],"="&amp;SUBSTITUTE(SUBSTITUTE(SUBSTITUTE(A68,"~","~~"),"*","~*"),"?","~?"),RecordData[Record ID],"="&amp;SUBSTITUTE(SUBSTITUTE(SUBSTITUTE(B68,"~","~~"),"*","~*"),"?","~?"))&gt;1,"Duplicate record ID",IF(OR(IF(G68="",FALSE,IF(ISNUMBER(G68),OR(G68&lt;1,G68&lt;&gt;INT(G68)),TRUE)),IF(H68="",FALSE,IF(ISNUMBER(H68),OR(H68&lt;1,H68&lt;&gt;INT(H68)),TRUE))),"Invalid rank",IF(OR(IF(G68="",FALSE,COUNTIFS(RecordData[Query ID],"="&amp;SUBSTITUTE(SUBSTITUTE(SUBSTITUTE(A68,"~","~~"),"*","~*"),"?","~?"),RecordData[Rank A],G68)&gt;1),IF(H68="",FALSE,COUNTIFS(RecordData[Query ID],"="&amp;SUBSTITUTE(SUBSTITUTE(SUBSTITUTE(A68,"~","~~"),"*","~*"),"?","~?"),RecordData[Rank B],H68)&gt;1)),"Duplicate rank",IF(AND(F68&lt;&gt;"",F68&lt;&gt;"Yes",F68&lt;&gt;"No"),"Invalid seed flag",IF(AND(D68&lt;&gt;"",D68&lt;&gt;"Relevant",D68&lt;&gt;"Not relevant",D68&lt;&gt;"Unjudged"),"Invalid judgement",IF(AND(F68="Yes",D68="Not relevant"),"Seed marked not relevant",IF(AND(G68="",H68="",F68&lt;&gt;"Yes"),"Absent record must be a seed","OK"))))))))))))</x:f>
      </x:c>
      <x:c r="J68" s="11" t="n">
        <x:f>IF(AND(ISNUMBER(G68),G68&gt;=1,G68&lt;=Comparison!$B$4),1,0)</x:f>
        <x:v>0</x:v>
      </x:c>
      <x:c r="K68" s="11" t="n">
        <x:f>IF(AND(ISNUMBER(H68),H68&gt;=1,H68&lt;=Comparison!$B$4),1,0)</x:f>
        <x:v>0</x:v>
      </x:c>
      <x:c r="L68" s="11" t="n">
        <x:f>IF(AND(J68=1,D68="Relevant"),1,0)</x:f>
        <x:v>0</x:v>
      </x:c>
      <x:c r="M68" s="11" t="n">
        <x:f>IF(AND(K68=1,D68="Relevant"),1,0)</x:f>
        <x:v>0</x:v>
      </x:c>
      <x:c r="N68" s="11" t="n">
        <x:f>IF(AND(OR(J68=1,K68=1),D68&lt;&gt;"Relevant",D68&lt;&gt;"Not relevant"),1,0)</x:f>
        <x:v>0</x:v>
      </x:c>
      <x:c r="O68" s="11" t="n">
        <x:f>IF(AND(J68=1,F68="Yes"),1,0)</x:f>
        <x:v>0</x:v>
      </x:c>
      <x:c r="P68" s="11" t="n">
        <x:f>IF(AND(K68=1,F68="Yes"),1,0)</x:f>
        <x:v>0</x:v>
      </x:c>
      <x:c r="Q68" s="11" t="n">
        <x:f>IF(F68="Yes",1,0)</x:f>
        <x:v>0</x:v>
      </x:c>
    </x:row>
    <x:row r="69" ht="48" customHeight="1">
      <x:c r="A69" s="15"/>
      <x:c r="B69" s="15"/>
      <x:c r="C69" s="12"/>
      <x:c r="D69" s="12"/>
      <x:c r="E69" s="12"/>
      <x:c r="F69" s="10"/>
      <x:c r="G69" s="10"/>
      <x:c r="H69" s="10"/>
      <x:c r="I69" s="11" t="str">
        <x:f>IF(COUNTA(A69:H69)=0,"",IF(A69="","Missing query ID",IF(COUNTIFS(QueryData[Query ID],"="&amp;SUBSTITUTE(SUBSTITUTE(SUBSTITUTE(A69,"~","~~"),"*","~*"),"?","~?"))=0,"Unknown query ID",IF(B69="","Missing record ID",IF(OR(OR(NOT(ISTEXT(A69)),TRIM(A69)&lt;&gt;A69),OR(NOT(ISTEXT(B69)),TRIM(B69)&lt;&gt;B69)),"IDs must be text without outer spaces",IF(COUNTIFS(RecordData[Query ID],"="&amp;SUBSTITUTE(SUBSTITUTE(SUBSTITUTE(A69,"~","~~"),"*","~*"),"?","~?"),RecordData[Record ID],"="&amp;SUBSTITUTE(SUBSTITUTE(SUBSTITUTE(B69,"~","~~"),"*","~*"),"?","~?"))&gt;1,"Duplicate record ID",IF(OR(IF(G69="",FALSE,IF(ISNUMBER(G69),OR(G69&lt;1,G69&lt;&gt;INT(G69)),TRUE)),IF(H69="",FALSE,IF(ISNUMBER(H69),OR(H69&lt;1,H69&lt;&gt;INT(H69)),TRUE))),"Invalid rank",IF(OR(IF(G69="",FALSE,COUNTIFS(RecordData[Query ID],"="&amp;SUBSTITUTE(SUBSTITUTE(SUBSTITUTE(A69,"~","~~"),"*","~*"),"?","~?"),RecordData[Rank A],G69)&gt;1),IF(H69="",FALSE,COUNTIFS(RecordData[Query ID],"="&amp;SUBSTITUTE(SUBSTITUTE(SUBSTITUTE(A69,"~","~~"),"*","~*"),"?","~?"),RecordData[Rank B],H69)&gt;1)),"Duplicate rank",IF(AND(F69&lt;&gt;"",F69&lt;&gt;"Yes",F69&lt;&gt;"No"),"Invalid seed flag",IF(AND(D69&lt;&gt;"",D69&lt;&gt;"Relevant",D69&lt;&gt;"Not relevant",D69&lt;&gt;"Unjudged"),"Invalid judgement",IF(AND(F69="Yes",D69="Not relevant"),"Seed marked not relevant",IF(AND(G69="",H69="",F69&lt;&gt;"Yes"),"Absent record must be a seed","OK"))))))))))))</x:f>
      </x:c>
      <x:c r="J69" s="11" t="n">
        <x:f>IF(AND(ISNUMBER(G69),G69&gt;=1,G69&lt;=Comparison!$B$4),1,0)</x:f>
        <x:v>0</x:v>
      </x:c>
      <x:c r="K69" s="11" t="n">
        <x:f>IF(AND(ISNUMBER(H69),H69&gt;=1,H69&lt;=Comparison!$B$4),1,0)</x:f>
        <x:v>0</x:v>
      </x:c>
      <x:c r="L69" s="11" t="n">
        <x:f>IF(AND(J69=1,D69="Relevant"),1,0)</x:f>
        <x:v>0</x:v>
      </x:c>
      <x:c r="M69" s="11" t="n">
        <x:f>IF(AND(K69=1,D69="Relevant"),1,0)</x:f>
        <x:v>0</x:v>
      </x:c>
      <x:c r="N69" s="11" t="n">
        <x:f>IF(AND(OR(J69=1,K69=1),D69&lt;&gt;"Relevant",D69&lt;&gt;"Not relevant"),1,0)</x:f>
        <x:v>0</x:v>
      </x:c>
      <x:c r="O69" s="11" t="n">
        <x:f>IF(AND(J69=1,F69="Yes"),1,0)</x:f>
        <x:v>0</x:v>
      </x:c>
      <x:c r="P69" s="11" t="n">
        <x:f>IF(AND(K69=1,F69="Yes"),1,0)</x:f>
        <x:v>0</x:v>
      </x:c>
      <x:c r="Q69" s="11" t="n">
        <x:f>IF(F69="Yes",1,0)</x:f>
        <x:v>0</x:v>
      </x:c>
    </x:row>
    <x:row r="70" ht="48" customHeight="1">
      <x:c r="A70" s="15"/>
      <x:c r="B70" s="15"/>
      <x:c r="C70" s="12"/>
      <x:c r="D70" s="12"/>
      <x:c r="E70" s="12"/>
      <x:c r="F70" s="10"/>
      <x:c r="G70" s="10"/>
      <x:c r="H70" s="10"/>
      <x:c r="I70" s="11" t="str">
        <x:f>IF(COUNTA(A70:H70)=0,"",IF(A70="","Missing query ID",IF(COUNTIFS(QueryData[Query ID],"="&amp;SUBSTITUTE(SUBSTITUTE(SUBSTITUTE(A70,"~","~~"),"*","~*"),"?","~?"))=0,"Unknown query ID",IF(B70="","Missing record ID",IF(OR(OR(NOT(ISTEXT(A70)),TRIM(A70)&lt;&gt;A70),OR(NOT(ISTEXT(B70)),TRIM(B70)&lt;&gt;B70)),"IDs must be text without outer spaces",IF(COUNTIFS(RecordData[Query ID],"="&amp;SUBSTITUTE(SUBSTITUTE(SUBSTITUTE(A70,"~","~~"),"*","~*"),"?","~?"),RecordData[Record ID],"="&amp;SUBSTITUTE(SUBSTITUTE(SUBSTITUTE(B70,"~","~~"),"*","~*"),"?","~?"))&gt;1,"Duplicate record ID",IF(OR(IF(G70="",FALSE,IF(ISNUMBER(G70),OR(G70&lt;1,G70&lt;&gt;INT(G70)),TRUE)),IF(H70="",FALSE,IF(ISNUMBER(H70),OR(H70&lt;1,H70&lt;&gt;INT(H70)),TRUE))),"Invalid rank",IF(OR(IF(G70="",FALSE,COUNTIFS(RecordData[Query ID],"="&amp;SUBSTITUTE(SUBSTITUTE(SUBSTITUTE(A70,"~","~~"),"*","~*"),"?","~?"),RecordData[Rank A],G70)&gt;1),IF(H70="",FALSE,COUNTIFS(RecordData[Query ID],"="&amp;SUBSTITUTE(SUBSTITUTE(SUBSTITUTE(A70,"~","~~"),"*","~*"),"?","~?"),RecordData[Rank B],H70)&gt;1)),"Duplicate rank",IF(AND(F70&lt;&gt;"",F70&lt;&gt;"Yes",F70&lt;&gt;"No"),"Invalid seed flag",IF(AND(D70&lt;&gt;"",D70&lt;&gt;"Relevant",D70&lt;&gt;"Not relevant",D70&lt;&gt;"Unjudged"),"Invalid judgement",IF(AND(F70="Yes",D70="Not relevant"),"Seed marked not relevant",IF(AND(G70="",H70="",F70&lt;&gt;"Yes"),"Absent record must be a seed","OK"))))))))))))</x:f>
      </x:c>
      <x:c r="J70" s="11" t="n">
        <x:f>IF(AND(ISNUMBER(G70),G70&gt;=1,G70&lt;=Comparison!$B$4),1,0)</x:f>
        <x:v>0</x:v>
      </x:c>
      <x:c r="K70" s="11" t="n">
        <x:f>IF(AND(ISNUMBER(H70),H70&gt;=1,H70&lt;=Comparison!$B$4),1,0)</x:f>
        <x:v>0</x:v>
      </x:c>
      <x:c r="L70" s="11" t="n">
        <x:f>IF(AND(J70=1,D70="Relevant"),1,0)</x:f>
        <x:v>0</x:v>
      </x:c>
      <x:c r="M70" s="11" t="n">
        <x:f>IF(AND(K70=1,D70="Relevant"),1,0)</x:f>
        <x:v>0</x:v>
      </x:c>
      <x:c r="N70" s="11" t="n">
        <x:f>IF(AND(OR(J70=1,K70=1),D70&lt;&gt;"Relevant",D70&lt;&gt;"Not relevant"),1,0)</x:f>
        <x:v>0</x:v>
      </x:c>
      <x:c r="O70" s="11" t="n">
        <x:f>IF(AND(J70=1,F70="Yes"),1,0)</x:f>
        <x:v>0</x:v>
      </x:c>
      <x:c r="P70" s="11" t="n">
        <x:f>IF(AND(K70=1,F70="Yes"),1,0)</x:f>
        <x:v>0</x:v>
      </x:c>
      <x:c r="Q70" s="11" t="n">
        <x:f>IF(F70="Yes",1,0)</x:f>
        <x:v>0</x:v>
      </x:c>
    </x:row>
    <x:row r="71" ht="48" customHeight="1">
      <x:c r="A71" s="15"/>
      <x:c r="B71" s="15"/>
      <x:c r="C71" s="12"/>
      <x:c r="D71" s="12"/>
      <x:c r="E71" s="12"/>
      <x:c r="F71" s="10"/>
      <x:c r="G71" s="10"/>
      <x:c r="H71" s="10"/>
      <x:c r="I71" s="11" t="str">
        <x:f>IF(COUNTA(A71:H71)=0,"",IF(A71="","Missing query ID",IF(COUNTIFS(QueryData[Query ID],"="&amp;SUBSTITUTE(SUBSTITUTE(SUBSTITUTE(A71,"~","~~"),"*","~*"),"?","~?"))=0,"Unknown query ID",IF(B71="","Missing record ID",IF(OR(OR(NOT(ISTEXT(A71)),TRIM(A71)&lt;&gt;A71),OR(NOT(ISTEXT(B71)),TRIM(B71)&lt;&gt;B71)),"IDs must be text without outer spaces",IF(COUNTIFS(RecordData[Query ID],"="&amp;SUBSTITUTE(SUBSTITUTE(SUBSTITUTE(A71,"~","~~"),"*","~*"),"?","~?"),RecordData[Record ID],"="&amp;SUBSTITUTE(SUBSTITUTE(SUBSTITUTE(B71,"~","~~"),"*","~*"),"?","~?"))&gt;1,"Duplicate record ID",IF(OR(IF(G71="",FALSE,IF(ISNUMBER(G71),OR(G71&lt;1,G71&lt;&gt;INT(G71)),TRUE)),IF(H71="",FALSE,IF(ISNUMBER(H71),OR(H71&lt;1,H71&lt;&gt;INT(H71)),TRUE))),"Invalid rank",IF(OR(IF(G71="",FALSE,COUNTIFS(RecordData[Query ID],"="&amp;SUBSTITUTE(SUBSTITUTE(SUBSTITUTE(A71,"~","~~"),"*","~*"),"?","~?"),RecordData[Rank A],G71)&gt;1),IF(H71="",FALSE,COUNTIFS(RecordData[Query ID],"="&amp;SUBSTITUTE(SUBSTITUTE(SUBSTITUTE(A71,"~","~~"),"*","~*"),"?","~?"),RecordData[Rank B],H71)&gt;1)),"Duplicate rank",IF(AND(F71&lt;&gt;"",F71&lt;&gt;"Yes",F71&lt;&gt;"No"),"Invalid seed flag",IF(AND(D71&lt;&gt;"",D71&lt;&gt;"Relevant",D71&lt;&gt;"Not relevant",D71&lt;&gt;"Unjudged"),"Invalid judgement",IF(AND(F71="Yes",D71="Not relevant"),"Seed marked not relevant",IF(AND(G71="",H71="",F71&lt;&gt;"Yes"),"Absent record must be a seed","OK"))))))))))))</x:f>
      </x:c>
      <x:c r="J71" s="11" t="n">
        <x:f>IF(AND(ISNUMBER(G71),G71&gt;=1,G71&lt;=Comparison!$B$4),1,0)</x:f>
        <x:v>0</x:v>
      </x:c>
      <x:c r="K71" s="11" t="n">
        <x:f>IF(AND(ISNUMBER(H71),H71&gt;=1,H71&lt;=Comparison!$B$4),1,0)</x:f>
        <x:v>0</x:v>
      </x:c>
      <x:c r="L71" s="11" t="n">
        <x:f>IF(AND(J71=1,D71="Relevant"),1,0)</x:f>
        <x:v>0</x:v>
      </x:c>
      <x:c r="M71" s="11" t="n">
        <x:f>IF(AND(K71=1,D71="Relevant"),1,0)</x:f>
        <x:v>0</x:v>
      </x:c>
      <x:c r="N71" s="11" t="n">
        <x:f>IF(AND(OR(J71=1,K71=1),D71&lt;&gt;"Relevant",D71&lt;&gt;"Not relevant"),1,0)</x:f>
        <x:v>0</x:v>
      </x:c>
      <x:c r="O71" s="11" t="n">
        <x:f>IF(AND(J71=1,F71="Yes"),1,0)</x:f>
        <x:v>0</x:v>
      </x:c>
      <x:c r="P71" s="11" t="n">
        <x:f>IF(AND(K71=1,F71="Yes"),1,0)</x:f>
        <x:v>0</x:v>
      </x:c>
      <x:c r="Q71" s="11" t="n">
        <x:f>IF(F71="Yes",1,0)</x:f>
        <x:v>0</x:v>
      </x:c>
    </x:row>
    <x:row r="72" ht="48" customHeight="1">
      <x:c r="A72" s="15"/>
      <x:c r="B72" s="15"/>
      <x:c r="C72" s="12"/>
      <x:c r="D72" s="12"/>
      <x:c r="E72" s="12"/>
      <x:c r="F72" s="10"/>
      <x:c r="G72" s="10"/>
      <x:c r="H72" s="10"/>
      <x:c r="I72" s="11" t="str">
        <x:f>IF(COUNTA(A72:H72)=0,"",IF(A72="","Missing query ID",IF(COUNTIFS(QueryData[Query ID],"="&amp;SUBSTITUTE(SUBSTITUTE(SUBSTITUTE(A72,"~","~~"),"*","~*"),"?","~?"))=0,"Unknown query ID",IF(B72="","Missing record ID",IF(OR(OR(NOT(ISTEXT(A72)),TRIM(A72)&lt;&gt;A72),OR(NOT(ISTEXT(B72)),TRIM(B72)&lt;&gt;B72)),"IDs must be text without outer spaces",IF(COUNTIFS(RecordData[Query ID],"="&amp;SUBSTITUTE(SUBSTITUTE(SUBSTITUTE(A72,"~","~~"),"*","~*"),"?","~?"),RecordData[Record ID],"="&amp;SUBSTITUTE(SUBSTITUTE(SUBSTITUTE(B72,"~","~~"),"*","~*"),"?","~?"))&gt;1,"Duplicate record ID",IF(OR(IF(G72="",FALSE,IF(ISNUMBER(G72),OR(G72&lt;1,G72&lt;&gt;INT(G72)),TRUE)),IF(H72="",FALSE,IF(ISNUMBER(H72),OR(H72&lt;1,H72&lt;&gt;INT(H72)),TRUE))),"Invalid rank",IF(OR(IF(G72="",FALSE,COUNTIFS(RecordData[Query ID],"="&amp;SUBSTITUTE(SUBSTITUTE(SUBSTITUTE(A72,"~","~~"),"*","~*"),"?","~?"),RecordData[Rank A],G72)&gt;1),IF(H72="",FALSE,COUNTIFS(RecordData[Query ID],"="&amp;SUBSTITUTE(SUBSTITUTE(SUBSTITUTE(A72,"~","~~"),"*","~*"),"?","~?"),RecordData[Rank B],H72)&gt;1)),"Duplicate rank",IF(AND(F72&lt;&gt;"",F72&lt;&gt;"Yes",F72&lt;&gt;"No"),"Invalid seed flag",IF(AND(D72&lt;&gt;"",D72&lt;&gt;"Relevant",D72&lt;&gt;"Not relevant",D72&lt;&gt;"Unjudged"),"Invalid judgement",IF(AND(F72="Yes",D72="Not relevant"),"Seed marked not relevant",IF(AND(G72="",H72="",F72&lt;&gt;"Yes"),"Absent record must be a seed","OK"))))))))))))</x:f>
      </x:c>
      <x:c r="J72" s="11" t="n">
        <x:f>IF(AND(ISNUMBER(G72),G72&gt;=1,G72&lt;=Comparison!$B$4),1,0)</x:f>
        <x:v>0</x:v>
      </x:c>
      <x:c r="K72" s="11" t="n">
        <x:f>IF(AND(ISNUMBER(H72),H72&gt;=1,H72&lt;=Comparison!$B$4),1,0)</x:f>
        <x:v>0</x:v>
      </x:c>
      <x:c r="L72" s="11" t="n">
        <x:f>IF(AND(J72=1,D72="Relevant"),1,0)</x:f>
        <x:v>0</x:v>
      </x:c>
      <x:c r="M72" s="11" t="n">
        <x:f>IF(AND(K72=1,D72="Relevant"),1,0)</x:f>
        <x:v>0</x:v>
      </x:c>
      <x:c r="N72" s="11" t="n">
        <x:f>IF(AND(OR(J72=1,K72=1),D72&lt;&gt;"Relevant",D72&lt;&gt;"Not relevant"),1,0)</x:f>
        <x:v>0</x:v>
      </x:c>
      <x:c r="O72" s="11" t="n">
        <x:f>IF(AND(J72=1,F72="Yes"),1,0)</x:f>
        <x:v>0</x:v>
      </x:c>
      <x:c r="P72" s="11" t="n">
        <x:f>IF(AND(K72=1,F72="Yes"),1,0)</x:f>
        <x:v>0</x:v>
      </x:c>
      <x:c r="Q72" s="11" t="n">
        <x:f>IF(F72="Yes",1,0)</x:f>
        <x:v>0</x:v>
      </x:c>
    </x:row>
    <x:row r="73" ht="48" customHeight="1">
      <x:c r="A73" s="15"/>
      <x:c r="B73" s="15"/>
      <x:c r="C73" s="12"/>
      <x:c r="D73" s="12"/>
      <x:c r="E73" s="12"/>
      <x:c r="F73" s="10"/>
      <x:c r="G73" s="10"/>
      <x:c r="H73" s="10"/>
      <x:c r="I73" s="11" t="str">
        <x:f>IF(COUNTA(A73:H73)=0,"",IF(A73="","Missing query ID",IF(COUNTIFS(QueryData[Query ID],"="&amp;SUBSTITUTE(SUBSTITUTE(SUBSTITUTE(A73,"~","~~"),"*","~*"),"?","~?"))=0,"Unknown query ID",IF(B73="","Missing record ID",IF(OR(OR(NOT(ISTEXT(A73)),TRIM(A73)&lt;&gt;A73),OR(NOT(ISTEXT(B73)),TRIM(B73)&lt;&gt;B73)),"IDs must be text without outer spaces",IF(COUNTIFS(RecordData[Query ID],"="&amp;SUBSTITUTE(SUBSTITUTE(SUBSTITUTE(A73,"~","~~"),"*","~*"),"?","~?"),RecordData[Record ID],"="&amp;SUBSTITUTE(SUBSTITUTE(SUBSTITUTE(B73,"~","~~"),"*","~*"),"?","~?"))&gt;1,"Duplicate record ID",IF(OR(IF(G73="",FALSE,IF(ISNUMBER(G73),OR(G73&lt;1,G73&lt;&gt;INT(G73)),TRUE)),IF(H73="",FALSE,IF(ISNUMBER(H73),OR(H73&lt;1,H73&lt;&gt;INT(H73)),TRUE))),"Invalid rank",IF(OR(IF(G73="",FALSE,COUNTIFS(RecordData[Query ID],"="&amp;SUBSTITUTE(SUBSTITUTE(SUBSTITUTE(A73,"~","~~"),"*","~*"),"?","~?"),RecordData[Rank A],G73)&gt;1),IF(H73="",FALSE,COUNTIFS(RecordData[Query ID],"="&amp;SUBSTITUTE(SUBSTITUTE(SUBSTITUTE(A73,"~","~~"),"*","~*"),"?","~?"),RecordData[Rank B],H73)&gt;1)),"Duplicate rank",IF(AND(F73&lt;&gt;"",F73&lt;&gt;"Yes",F73&lt;&gt;"No"),"Invalid seed flag",IF(AND(D73&lt;&gt;"",D73&lt;&gt;"Relevant",D73&lt;&gt;"Not relevant",D73&lt;&gt;"Unjudged"),"Invalid judgement",IF(AND(F73="Yes",D73="Not relevant"),"Seed marked not relevant",IF(AND(G73="",H73="",F73&lt;&gt;"Yes"),"Absent record must be a seed","OK"))))))))))))</x:f>
      </x:c>
      <x:c r="J73" s="11" t="n">
        <x:f>IF(AND(ISNUMBER(G73),G73&gt;=1,G73&lt;=Comparison!$B$4),1,0)</x:f>
        <x:v>0</x:v>
      </x:c>
      <x:c r="K73" s="11" t="n">
        <x:f>IF(AND(ISNUMBER(H73),H73&gt;=1,H73&lt;=Comparison!$B$4),1,0)</x:f>
        <x:v>0</x:v>
      </x:c>
      <x:c r="L73" s="11" t="n">
        <x:f>IF(AND(J73=1,D73="Relevant"),1,0)</x:f>
        <x:v>0</x:v>
      </x:c>
      <x:c r="M73" s="11" t="n">
        <x:f>IF(AND(K73=1,D73="Relevant"),1,0)</x:f>
        <x:v>0</x:v>
      </x:c>
      <x:c r="N73" s="11" t="n">
        <x:f>IF(AND(OR(J73=1,K73=1),D73&lt;&gt;"Relevant",D73&lt;&gt;"Not relevant"),1,0)</x:f>
        <x:v>0</x:v>
      </x:c>
      <x:c r="O73" s="11" t="n">
        <x:f>IF(AND(J73=1,F73="Yes"),1,0)</x:f>
        <x:v>0</x:v>
      </x:c>
      <x:c r="P73" s="11" t="n">
        <x:f>IF(AND(K73=1,F73="Yes"),1,0)</x:f>
        <x:v>0</x:v>
      </x:c>
      <x:c r="Q73" s="11" t="n">
        <x:f>IF(F73="Yes",1,0)</x:f>
        <x:v>0</x:v>
      </x:c>
    </x:row>
    <x:row r="74" ht="48" customHeight="1">
      <x:c r="A74" s="15"/>
      <x:c r="B74" s="15"/>
      <x:c r="C74" s="12"/>
      <x:c r="D74" s="12"/>
      <x:c r="E74" s="12"/>
      <x:c r="F74" s="10"/>
      <x:c r="G74" s="10"/>
      <x:c r="H74" s="10"/>
      <x:c r="I74" s="11" t="str">
        <x:f>IF(COUNTA(A74:H74)=0,"",IF(A74="","Missing query ID",IF(COUNTIFS(QueryData[Query ID],"="&amp;SUBSTITUTE(SUBSTITUTE(SUBSTITUTE(A74,"~","~~"),"*","~*"),"?","~?"))=0,"Unknown query ID",IF(B74="","Missing record ID",IF(OR(OR(NOT(ISTEXT(A74)),TRIM(A74)&lt;&gt;A74),OR(NOT(ISTEXT(B74)),TRIM(B74)&lt;&gt;B74)),"IDs must be text without outer spaces",IF(COUNTIFS(RecordData[Query ID],"="&amp;SUBSTITUTE(SUBSTITUTE(SUBSTITUTE(A74,"~","~~"),"*","~*"),"?","~?"),RecordData[Record ID],"="&amp;SUBSTITUTE(SUBSTITUTE(SUBSTITUTE(B74,"~","~~"),"*","~*"),"?","~?"))&gt;1,"Duplicate record ID",IF(OR(IF(G74="",FALSE,IF(ISNUMBER(G74),OR(G74&lt;1,G74&lt;&gt;INT(G74)),TRUE)),IF(H74="",FALSE,IF(ISNUMBER(H74),OR(H74&lt;1,H74&lt;&gt;INT(H74)),TRUE))),"Invalid rank",IF(OR(IF(G74="",FALSE,COUNTIFS(RecordData[Query ID],"="&amp;SUBSTITUTE(SUBSTITUTE(SUBSTITUTE(A74,"~","~~"),"*","~*"),"?","~?"),RecordData[Rank A],G74)&gt;1),IF(H74="",FALSE,COUNTIFS(RecordData[Query ID],"="&amp;SUBSTITUTE(SUBSTITUTE(SUBSTITUTE(A74,"~","~~"),"*","~*"),"?","~?"),RecordData[Rank B],H74)&gt;1)),"Duplicate rank",IF(AND(F74&lt;&gt;"",F74&lt;&gt;"Yes",F74&lt;&gt;"No"),"Invalid seed flag",IF(AND(D74&lt;&gt;"",D74&lt;&gt;"Relevant",D74&lt;&gt;"Not relevant",D74&lt;&gt;"Unjudged"),"Invalid judgement",IF(AND(F74="Yes",D74="Not relevant"),"Seed marked not relevant",IF(AND(G74="",H74="",F74&lt;&gt;"Yes"),"Absent record must be a seed","OK"))))))))))))</x:f>
      </x:c>
      <x:c r="J74" s="11" t="n">
        <x:f>IF(AND(ISNUMBER(G74),G74&gt;=1,G74&lt;=Comparison!$B$4),1,0)</x:f>
        <x:v>0</x:v>
      </x:c>
      <x:c r="K74" s="11" t="n">
        <x:f>IF(AND(ISNUMBER(H74),H74&gt;=1,H74&lt;=Comparison!$B$4),1,0)</x:f>
        <x:v>0</x:v>
      </x:c>
      <x:c r="L74" s="11" t="n">
        <x:f>IF(AND(J74=1,D74="Relevant"),1,0)</x:f>
        <x:v>0</x:v>
      </x:c>
      <x:c r="M74" s="11" t="n">
        <x:f>IF(AND(K74=1,D74="Relevant"),1,0)</x:f>
        <x:v>0</x:v>
      </x:c>
      <x:c r="N74" s="11" t="n">
        <x:f>IF(AND(OR(J74=1,K74=1),D74&lt;&gt;"Relevant",D74&lt;&gt;"Not relevant"),1,0)</x:f>
        <x:v>0</x:v>
      </x:c>
      <x:c r="O74" s="11" t="n">
        <x:f>IF(AND(J74=1,F74="Yes"),1,0)</x:f>
        <x:v>0</x:v>
      </x:c>
      <x:c r="P74" s="11" t="n">
        <x:f>IF(AND(K74=1,F74="Yes"),1,0)</x:f>
        <x:v>0</x:v>
      </x:c>
      <x:c r="Q74" s="11" t="n">
        <x:f>IF(F74="Yes",1,0)</x:f>
        <x:v>0</x:v>
      </x:c>
    </x:row>
    <x:row r="75" ht="48" customHeight="1">
      <x:c r="A75" s="15"/>
      <x:c r="B75" s="15"/>
      <x:c r="C75" s="12"/>
      <x:c r="D75" s="12"/>
      <x:c r="E75" s="12"/>
      <x:c r="F75" s="10"/>
      <x:c r="G75" s="10"/>
      <x:c r="H75" s="10"/>
      <x:c r="I75" s="11" t="str">
        <x:f>IF(COUNTA(A75:H75)=0,"",IF(A75="","Missing query ID",IF(COUNTIFS(QueryData[Query ID],"="&amp;SUBSTITUTE(SUBSTITUTE(SUBSTITUTE(A75,"~","~~"),"*","~*"),"?","~?"))=0,"Unknown query ID",IF(B75="","Missing record ID",IF(OR(OR(NOT(ISTEXT(A75)),TRIM(A75)&lt;&gt;A75),OR(NOT(ISTEXT(B75)),TRIM(B75)&lt;&gt;B75)),"IDs must be text without outer spaces",IF(COUNTIFS(RecordData[Query ID],"="&amp;SUBSTITUTE(SUBSTITUTE(SUBSTITUTE(A75,"~","~~"),"*","~*"),"?","~?"),RecordData[Record ID],"="&amp;SUBSTITUTE(SUBSTITUTE(SUBSTITUTE(B75,"~","~~"),"*","~*"),"?","~?"))&gt;1,"Duplicate record ID",IF(OR(IF(G75="",FALSE,IF(ISNUMBER(G75),OR(G75&lt;1,G75&lt;&gt;INT(G75)),TRUE)),IF(H75="",FALSE,IF(ISNUMBER(H75),OR(H75&lt;1,H75&lt;&gt;INT(H75)),TRUE))),"Invalid rank",IF(OR(IF(G75="",FALSE,COUNTIFS(RecordData[Query ID],"="&amp;SUBSTITUTE(SUBSTITUTE(SUBSTITUTE(A75,"~","~~"),"*","~*"),"?","~?"),RecordData[Rank A],G75)&gt;1),IF(H75="",FALSE,COUNTIFS(RecordData[Query ID],"="&amp;SUBSTITUTE(SUBSTITUTE(SUBSTITUTE(A75,"~","~~"),"*","~*"),"?","~?"),RecordData[Rank B],H75)&gt;1)),"Duplicate rank",IF(AND(F75&lt;&gt;"",F75&lt;&gt;"Yes",F75&lt;&gt;"No"),"Invalid seed flag",IF(AND(D75&lt;&gt;"",D75&lt;&gt;"Relevant",D75&lt;&gt;"Not relevant",D75&lt;&gt;"Unjudged"),"Invalid judgement",IF(AND(F75="Yes",D75="Not relevant"),"Seed marked not relevant",IF(AND(G75="",H75="",F75&lt;&gt;"Yes"),"Absent record must be a seed","OK"))))))))))))</x:f>
      </x:c>
      <x:c r="J75" s="11" t="n">
        <x:f>IF(AND(ISNUMBER(G75),G75&gt;=1,G75&lt;=Comparison!$B$4),1,0)</x:f>
        <x:v>0</x:v>
      </x:c>
      <x:c r="K75" s="11" t="n">
        <x:f>IF(AND(ISNUMBER(H75),H75&gt;=1,H75&lt;=Comparison!$B$4),1,0)</x:f>
        <x:v>0</x:v>
      </x:c>
      <x:c r="L75" s="11" t="n">
        <x:f>IF(AND(J75=1,D75="Relevant"),1,0)</x:f>
        <x:v>0</x:v>
      </x:c>
      <x:c r="M75" s="11" t="n">
        <x:f>IF(AND(K75=1,D75="Relevant"),1,0)</x:f>
        <x:v>0</x:v>
      </x:c>
      <x:c r="N75" s="11" t="n">
        <x:f>IF(AND(OR(J75=1,K75=1),D75&lt;&gt;"Relevant",D75&lt;&gt;"Not relevant"),1,0)</x:f>
        <x:v>0</x:v>
      </x:c>
      <x:c r="O75" s="11" t="n">
        <x:f>IF(AND(J75=1,F75="Yes"),1,0)</x:f>
        <x:v>0</x:v>
      </x:c>
      <x:c r="P75" s="11" t="n">
        <x:f>IF(AND(K75=1,F75="Yes"),1,0)</x:f>
        <x:v>0</x:v>
      </x:c>
      <x:c r="Q75" s="11" t="n">
        <x:f>IF(F75="Yes",1,0)</x:f>
        <x:v>0</x:v>
      </x:c>
    </x:row>
    <x:row r="76" ht="48" customHeight="1">
      <x:c r="A76" s="15"/>
      <x:c r="B76" s="15"/>
      <x:c r="C76" s="12"/>
      <x:c r="D76" s="12"/>
      <x:c r="E76" s="12"/>
      <x:c r="F76" s="10"/>
      <x:c r="G76" s="10"/>
      <x:c r="H76" s="10"/>
      <x:c r="I76" s="11" t="str">
        <x:f>IF(COUNTA(A76:H76)=0,"",IF(A76="","Missing query ID",IF(COUNTIFS(QueryData[Query ID],"="&amp;SUBSTITUTE(SUBSTITUTE(SUBSTITUTE(A76,"~","~~"),"*","~*"),"?","~?"))=0,"Unknown query ID",IF(B76="","Missing record ID",IF(OR(OR(NOT(ISTEXT(A76)),TRIM(A76)&lt;&gt;A76),OR(NOT(ISTEXT(B76)),TRIM(B76)&lt;&gt;B76)),"IDs must be text without outer spaces",IF(COUNTIFS(RecordData[Query ID],"="&amp;SUBSTITUTE(SUBSTITUTE(SUBSTITUTE(A76,"~","~~"),"*","~*"),"?","~?"),RecordData[Record ID],"="&amp;SUBSTITUTE(SUBSTITUTE(SUBSTITUTE(B76,"~","~~"),"*","~*"),"?","~?"))&gt;1,"Duplicate record ID",IF(OR(IF(G76="",FALSE,IF(ISNUMBER(G76),OR(G76&lt;1,G76&lt;&gt;INT(G76)),TRUE)),IF(H76="",FALSE,IF(ISNUMBER(H76),OR(H76&lt;1,H76&lt;&gt;INT(H76)),TRUE))),"Invalid rank",IF(OR(IF(G76="",FALSE,COUNTIFS(RecordData[Query ID],"="&amp;SUBSTITUTE(SUBSTITUTE(SUBSTITUTE(A76,"~","~~"),"*","~*"),"?","~?"),RecordData[Rank A],G76)&gt;1),IF(H76="",FALSE,COUNTIFS(RecordData[Query ID],"="&amp;SUBSTITUTE(SUBSTITUTE(SUBSTITUTE(A76,"~","~~"),"*","~*"),"?","~?"),RecordData[Rank B],H76)&gt;1)),"Duplicate rank",IF(AND(F76&lt;&gt;"",F76&lt;&gt;"Yes",F76&lt;&gt;"No"),"Invalid seed flag",IF(AND(D76&lt;&gt;"",D76&lt;&gt;"Relevant",D76&lt;&gt;"Not relevant",D76&lt;&gt;"Unjudged"),"Invalid judgement",IF(AND(F76="Yes",D76="Not relevant"),"Seed marked not relevant",IF(AND(G76="",H76="",F76&lt;&gt;"Yes"),"Absent record must be a seed","OK"))))))))))))</x:f>
      </x:c>
      <x:c r="J76" s="11" t="n">
        <x:f>IF(AND(ISNUMBER(G76),G76&gt;=1,G76&lt;=Comparison!$B$4),1,0)</x:f>
        <x:v>0</x:v>
      </x:c>
      <x:c r="K76" s="11" t="n">
        <x:f>IF(AND(ISNUMBER(H76),H76&gt;=1,H76&lt;=Comparison!$B$4),1,0)</x:f>
        <x:v>0</x:v>
      </x:c>
      <x:c r="L76" s="11" t="n">
        <x:f>IF(AND(J76=1,D76="Relevant"),1,0)</x:f>
        <x:v>0</x:v>
      </x:c>
      <x:c r="M76" s="11" t="n">
        <x:f>IF(AND(K76=1,D76="Relevant"),1,0)</x:f>
        <x:v>0</x:v>
      </x:c>
      <x:c r="N76" s="11" t="n">
        <x:f>IF(AND(OR(J76=1,K76=1),D76&lt;&gt;"Relevant",D76&lt;&gt;"Not relevant"),1,0)</x:f>
        <x:v>0</x:v>
      </x:c>
      <x:c r="O76" s="11" t="n">
        <x:f>IF(AND(J76=1,F76="Yes"),1,0)</x:f>
        <x:v>0</x:v>
      </x:c>
      <x:c r="P76" s="11" t="n">
        <x:f>IF(AND(K76=1,F76="Yes"),1,0)</x:f>
        <x:v>0</x:v>
      </x:c>
      <x:c r="Q76" s="11" t="n">
        <x:f>IF(F76="Yes",1,0)</x:f>
        <x:v>0</x:v>
      </x:c>
    </x:row>
    <x:row r="77" ht="48" customHeight="1">
      <x:c r="A77" s="15"/>
      <x:c r="B77" s="15"/>
      <x:c r="C77" s="12"/>
      <x:c r="D77" s="12"/>
      <x:c r="E77" s="12"/>
      <x:c r="F77" s="10"/>
      <x:c r="G77" s="10"/>
      <x:c r="H77" s="10"/>
      <x:c r="I77" s="11" t="str">
        <x:f>IF(COUNTA(A77:H77)=0,"",IF(A77="","Missing query ID",IF(COUNTIFS(QueryData[Query ID],"="&amp;SUBSTITUTE(SUBSTITUTE(SUBSTITUTE(A77,"~","~~"),"*","~*"),"?","~?"))=0,"Unknown query ID",IF(B77="","Missing record ID",IF(OR(OR(NOT(ISTEXT(A77)),TRIM(A77)&lt;&gt;A77),OR(NOT(ISTEXT(B77)),TRIM(B77)&lt;&gt;B77)),"IDs must be text without outer spaces",IF(COUNTIFS(RecordData[Query ID],"="&amp;SUBSTITUTE(SUBSTITUTE(SUBSTITUTE(A77,"~","~~"),"*","~*"),"?","~?"),RecordData[Record ID],"="&amp;SUBSTITUTE(SUBSTITUTE(SUBSTITUTE(B77,"~","~~"),"*","~*"),"?","~?"))&gt;1,"Duplicate record ID",IF(OR(IF(G77="",FALSE,IF(ISNUMBER(G77),OR(G77&lt;1,G77&lt;&gt;INT(G77)),TRUE)),IF(H77="",FALSE,IF(ISNUMBER(H77),OR(H77&lt;1,H77&lt;&gt;INT(H77)),TRUE))),"Invalid rank",IF(OR(IF(G77="",FALSE,COUNTIFS(RecordData[Query ID],"="&amp;SUBSTITUTE(SUBSTITUTE(SUBSTITUTE(A77,"~","~~"),"*","~*"),"?","~?"),RecordData[Rank A],G77)&gt;1),IF(H77="",FALSE,COUNTIFS(RecordData[Query ID],"="&amp;SUBSTITUTE(SUBSTITUTE(SUBSTITUTE(A77,"~","~~"),"*","~*"),"?","~?"),RecordData[Rank B],H77)&gt;1)),"Duplicate rank",IF(AND(F77&lt;&gt;"",F77&lt;&gt;"Yes",F77&lt;&gt;"No"),"Invalid seed flag",IF(AND(D77&lt;&gt;"",D77&lt;&gt;"Relevant",D77&lt;&gt;"Not relevant",D77&lt;&gt;"Unjudged"),"Invalid judgement",IF(AND(F77="Yes",D77="Not relevant"),"Seed marked not relevant",IF(AND(G77="",H77="",F77&lt;&gt;"Yes"),"Absent record must be a seed","OK"))))))))))))</x:f>
      </x:c>
      <x:c r="J77" s="11" t="n">
        <x:f>IF(AND(ISNUMBER(G77),G77&gt;=1,G77&lt;=Comparison!$B$4),1,0)</x:f>
        <x:v>0</x:v>
      </x:c>
      <x:c r="K77" s="11" t="n">
        <x:f>IF(AND(ISNUMBER(H77),H77&gt;=1,H77&lt;=Comparison!$B$4),1,0)</x:f>
        <x:v>0</x:v>
      </x:c>
      <x:c r="L77" s="11" t="n">
        <x:f>IF(AND(J77=1,D77="Relevant"),1,0)</x:f>
        <x:v>0</x:v>
      </x:c>
      <x:c r="M77" s="11" t="n">
        <x:f>IF(AND(K77=1,D77="Relevant"),1,0)</x:f>
        <x:v>0</x:v>
      </x:c>
      <x:c r="N77" s="11" t="n">
        <x:f>IF(AND(OR(J77=1,K77=1),D77&lt;&gt;"Relevant",D77&lt;&gt;"Not relevant"),1,0)</x:f>
        <x:v>0</x:v>
      </x:c>
      <x:c r="O77" s="11" t="n">
        <x:f>IF(AND(J77=1,F77="Yes"),1,0)</x:f>
        <x:v>0</x:v>
      </x:c>
      <x:c r="P77" s="11" t="n">
        <x:f>IF(AND(K77=1,F77="Yes"),1,0)</x:f>
        <x:v>0</x:v>
      </x:c>
      <x:c r="Q77" s="11" t="n">
        <x:f>IF(F77="Yes",1,0)</x:f>
        <x:v>0</x:v>
      </x:c>
    </x:row>
    <x:row r="78" ht="48" customHeight="1">
      <x:c r="A78" s="15"/>
      <x:c r="B78" s="15"/>
      <x:c r="C78" s="12"/>
      <x:c r="D78" s="12"/>
      <x:c r="E78" s="12"/>
      <x:c r="F78" s="10"/>
      <x:c r="G78" s="10"/>
      <x:c r="H78" s="10"/>
      <x:c r="I78" s="11" t="str">
        <x:f>IF(COUNTA(A78:H78)=0,"",IF(A78="","Missing query ID",IF(COUNTIFS(QueryData[Query ID],"="&amp;SUBSTITUTE(SUBSTITUTE(SUBSTITUTE(A78,"~","~~"),"*","~*"),"?","~?"))=0,"Unknown query ID",IF(B78="","Missing record ID",IF(OR(OR(NOT(ISTEXT(A78)),TRIM(A78)&lt;&gt;A78),OR(NOT(ISTEXT(B78)),TRIM(B78)&lt;&gt;B78)),"IDs must be text without outer spaces",IF(COUNTIFS(RecordData[Query ID],"="&amp;SUBSTITUTE(SUBSTITUTE(SUBSTITUTE(A78,"~","~~"),"*","~*"),"?","~?"),RecordData[Record ID],"="&amp;SUBSTITUTE(SUBSTITUTE(SUBSTITUTE(B78,"~","~~"),"*","~*"),"?","~?"))&gt;1,"Duplicate record ID",IF(OR(IF(G78="",FALSE,IF(ISNUMBER(G78),OR(G78&lt;1,G78&lt;&gt;INT(G78)),TRUE)),IF(H78="",FALSE,IF(ISNUMBER(H78),OR(H78&lt;1,H78&lt;&gt;INT(H78)),TRUE))),"Invalid rank",IF(OR(IF(G78="",FALSE,COUNTIFS(RecordData[Query ID],"="&amp;SUBSTITUTE(SUBSTITUTE(SUBSTITUTE(A78,"~","~~"),"*","~*"),"?","~?"),RecordData[Rank A],G78)&gt;1),IF(H78="",FALSE,COUNTIFS(RecordData[Query ID],"="&amp;SUBSTITUTE(SUBSTITUTE(SUBSTITUTE(A78,"~","~~"),"*","~*"),"?","~?"),RecordData[Rank B],H78)&gt;1)),"Duplicate rank",IF(AND(F78&lt;&gt;"",F78&lt;&gt;"Yes",F78&lt;&gt;"No"),"Invalid seed flag",IF(AND(D78&lt;&gt;"",D78&lt;&gt;"Relevant",D78&lt;&gt;"Not relevant",D78&lt;&gt;"Unjudged"),"Invalid judgement",IF(AND(F78="Yes",D78="Not relevant"),"Seed marked not relevant",IF(AND(G78="",H78="",F78&lt;&gt;"Yes"),"Absent record must be a seed","OK"))))))))))))</x:f>
      </x:c>
      <x:c r="J78" s="11" t="n">
        <x:f>IF(AND(ISNUMBER(G78),G78&gt;=1,G78&lt;=Comparison!$B$4),1,0)</x:f>
        <x:v>0</x:v>
      </x:c>
      <x:c r="K78" s="11" t="n">
        <x:f>IF(AND(ISNUMBER(H78),H78&gt;=1,H78&lt;=Comparison!$B$4),1,0)</x:f>
        <x:v>0</x:v>
      </x:c>
      <x:c r="L78" s="11" t="n">
        <x:f>IF(AND(J78=1,D78="Relevant"),1,0)</x:f>
        <x:v>0</x:v>
      </x:c>
      <x:c r="M78" s="11" t="n">
        <x:f>IF(AND(K78=1,D78="Relevant"),1,0)</x:f>
        <x:v>0</x:v>
      </x:c>
      <x:c r="N78" s="11" t="n">
        <x:f>IF(AND(OR(J78=1,K78=1),D78&lt;&gt;"Relevant",D78&lt;&gt;"Not relevant"),1,0)</x:f>
        <x:v>0</x:v>
      </x:c>
      <x:c r="O78" s="11" t="n">
        <x:f>IF(AND(J78=1,F78="Yes"),1,0)</x:f>
        <x:v>0</x:v>
      </x:c>
      <x:c r="P78" s="11" t="n">
        <x:f>IF(AND(K78=1,F78="Yes"),1,0)</x:f>
        <x:v>0</x:v>
      </x:c>
      <x:c r="Q78" s="11" t="n">
        <x:f>IF(F78="Yes",1,0)</x:f>
        <x:v>0</x:v>
      </x:c>
    </x:row>
    <x:row r="79" ht="48" customHeight="1">
      <x:c r="A79" s="15"/>
      <x:c r="B79" s="15"/>
      <x:c r="C79" s="12"/>
      <x:c r="D79" s="12"/>
      <x:c r="E79" s="12"/>
      <x:c r="F79" s="10"/>
      <x:c r="G79" s="10"/>
      <x:c r="H79" s="10"/>
      <x:c r="I79" s="11" t="str">
        <x:f>IF(COUNTA(A79:H79)=0,"",IF(A79="","Missing query ID",IF(COUNTIFS(QueryData[Query ID],"="&amp;SUBSTITUTE(SUBSTITUTE(SUBSTITUTE(A79,"~","~~"),"*","~*"),"?","~?"))=0,"Unknown query ID",IF(B79="","Missing record ID",IF(OR(OR(NOT(ISTEXT(A79)),TRIM(A79)&lt;&gt;A79),OR(NOT(ISTEXT(B79)),TRIM(B79)&lt;&gt;B79)),"IDs must be text without outer spaces",IF(COUNTIFS(RecordData[Query ID],"="&amp;SUBSTITUTE(SUBSTITUTE(SUBSTITUTE(A79,"~","~~"),"*","~*"),"?","~?"),RecordData[Record ID],"="&amp;SUBSTITUTE(SUBSTITUTE(SUBSTITUTE(B79,"~","~~"),"*","~*"),"?","~?"))&gt;1,"Duplicate record ID",IF(OR(IF(G79="",FALSE,IF(ISNUMBER(G79),OR(G79&lt;1,G79&lt;&gt;INT(G79)),TRUE)),IF(H79="",FALSE,IF(ISNUMBER(H79),OR(H79&lt;1,H79&lt;&gt;INT(H79)),TRUE))),"Invalid rank",IF(OR(IF(G79="",FALSE,COUNTIFS(RecordData[Query ID],"="&amp;SUBSTITUTE(SUBSTITUTE(SUBSTITUTE(A79,"~","~~"),"*","~*"),"?","~?"),RecordData[Rank A],G79)&gt;1),IF(H79="",FALSE,COUNTIFS(RecordData[Query ID],"="&amp;SUBSTITUTE(SUBSTITUTE(SUBSTITUTE(A79,"~","~~"),"*","~*"),"?","~?"),RecordData[Rank B],H79)&gt;1)),"Duplicate rank",IF(AND(F79&lt;&gt;"",F79&lt;&gt;"Yes",F79&lt;&gt;"No"),"Invalid seed flag",IF(AND(D79&lt;&gt;"",D79&lt;&gt;"Relevant",D79&lt;&gt;"Not relevant",D79&lt;&gt;"Unjudged"),"Invalid judgement",IF(AND(F79="Yes",D79="Not relevant"),"Seed marked not relevant",IF(AND(G79="",H79="",F79&lt;&gt;"Yes"),"Absent record must be a seed","OK"))))))))))))</x:f>
      </x:c>
      <x:c r="J79" s="11" t="n">
        <x:f>IF(AND(ISNUMBER(G79),G79&gt;=1,G79&lt;=Comparison!$B$4),1,0)</x:f>
        <x:v>0</x:v>
      </x:c>
      <x:c r="K79" s="11" t="n">
        <x:f>IF(AND(ISNUMBER(H79),H79&gt;=1,H79&lt;=Comparison!$B$4),1,0)</x:f>
        <x:v>0</x:v>
      </x:c>
      <x:c r="L79" s="11" t="n">
        <x:f>IF(AND(J79=1,D79="Relevant"),1,0)</x:f>
        <x:v>0</x:v>
      </x:c>
      <x:c r="M79" s="11" t="n">
        <x:f>IF(AND(K79=1,D79="Relevant"),1,0)</x:f>
        <x:v>0</x:v>
      </x:c>
      <x:c r="N79" s="11" t="n">
        <x:f>IF(AND(OR(J79=1,K79=1),D79&lt;&gt;"Relevant",D79&lt;&gt;"Not relevant"),1,0)</x:f>
        <x:v>0</x:v>
      </x:c>
      <x:c r="O79" s="11" t="n">
        <x:f>IF(AND(J79=1,F79="Yes"),1,0)</x:f>
        <x:v>0</x:v>
      </x:c>
      <x:c r="P79" s="11" t="n">
        <x:f>IF(AND(K79=1,F79="Yes"),1,0)</x:f>
        <x:v>0</x:v>
      </x:c>
      <x:c r="Q79" s="11" t="n">
        <x:f>IF(F79="Yes",1,0)</x:f>
        <x:v>0</x:v>
      </x:c>
    </x:row>
    <x:row r="80" ht="48" customHeight="1">
      <x:c r="A80" s="15"/>
      <x:c r="B80" s="15"/>
      <x:c r="C80" s="12"/>
      <x:c r="D80" s="12"/>
      <x:c r="E80" s="12"/>
      <x:c r="F80" s="10"/>
      <x:c r="G80" s="10"/>
      <x:c r="H80" s="10"/>
      <x:c r="I80" s="11" t="str">
        <x:f>IF(COUNTA(A80:H80)=0,"",IF(A80="","Missing query ID",IF(COUNTIFS(QueryData[Query ID],"="&amp;SUBSTITUTE(SUBSTITUTE(SUBSTITUTE(A80,"~","~~"),"*","~*"),"?","~?"))=0,"Unknown query ID",IF(B80="","Missing record ID",IF(OR(OR(NOT(ISTEXT(A80)),TRIM(A80)&lt;&gt;A80),OR(NOT(ISTEXT(B80)),TRIM(B80)&lt;&gt;B80)),"IDs must be text without outer spaces",IF(COUNTIFS(RecordData[Query ID],"="&amp;SUBSTITUTE(SUBSTITUTE(SUBSTITUTE(A80,"~","~~"),"*","~*"),"?","~?"),RecordData[Record ID],"="&amp;SUBSTITUTE(SUBSTITUTE(SUBSTITUTE(B80,"~","~~"),"*","~*"),"?","~?"))&gt;1,"Duplicate record ID",IF(OR(IF(G80="",FALSE,IF(ISNUMBER(G80),OR(G80&lt;1,G80&lt;&gt;INT(G80)),TRUE)),IF(H80="",FALSE,IF(ISNUMBER(H80),OR(H80&lt;1,H80&lt;&gt;INT(H80)),TRUE))),"Invalid rank",IF(OR(IF(G80="",FALSE,COUNTIFS(RecordData[Query ID],"="&amp;SUBSTITUTE(SUBSTITUTE(SUBSTITUTE(A80,"~","~~"),"*","~*"),"?","~?"),RecordData[Rank A],G80)&gt;1),IF(H80="",FALSE,COUNTIFS(RecordData[Query ID],"="&amp;SUBSTITUTE(SUBSTITUTE(SUBSTITUTE(A80,"~","~~"),"*","~*"),"?","~?"),RecordData[Rank B],H80)&gt;1)),"Duplicate rank",IF(AND(F80&lt;&gt;"",F80&lt;&gt;"Yes",F80&lt;&gt;"No"),"Invalid seed flag",IF(AND(D80&lt;&gt;"",D80&lt;&gt;"Relevant",D80&lt;&gt;"Not relevant",D80&lt;&gt;"Unjudged"),"Invalid judgement",IF(AND(F80="Yes",D80="Not relevant"),"Seed marked not relevant",IF(AND(G80="",H80="",F80&lt;&gt;"Yes"),"Absent record must be a seed","OK"))))))))))))</x:f>
      </x:c>
      <x:c r="J80" s="11" t="n">
        <x:f>IF(AND(ISNUMBER(G80),G80&gt;=1,G80&lt;=Comparison!$B$4),1,0)</x:f>
        <x:v>0</x:v>
      </x:c>
      <x:c r="K80" s="11" t="n">
        <x:f>IF(AND(ISNUMBER(H80),H80&gt;=1,H80&lt;=Comparison!$B$4),1,0)</x:f>
        <x:v>0</x:v>
      </x:c>
      <x:c r="L80" s="11" t="n">
        <x:f>IF(AND(J80=1,D80="Relevant"),1,0)</x:f>
        <x:v>0</x:v>
      </x:c>
      <x:c r="M80" s="11" t="n">
        <x:f>IF(AND(K80=1,D80="Relevant"),1,0)</x:f>
        <x:v>0</x:v>
      </x:c>
      <x:c r="N80" s="11" t="n">
        <x:f>IF(AND(OR(J80=1,K80=1),D80&lt;&gt;"Relevant",D80&lt;&gt;"Not relevant"),1,0)</x:f>
        <x:v>0</x:v>
      </x:c>
      <x:c r="O80" s="11" t="n">
        <x:f>IF(AND(J80=1,F80="Yes"),1,0)</x:f>
        <x:v>0</x:v>
      </x:c>
      <x:c r="P80" s="11" t="n">
        <x:f>IF(AND(K80=1,F80="Yes"),1,0)</x:f>
        <x:v>0</x:v>
      </x:c>
      <x:c r="Q80" s="11" t="n">
        <x:f>IF(F80="Yes",1,0)</x:f>
        <x:v>0</x:v>
      </x:c>
    </x:row>
    <x:row r="81" ht="48" customHeight="1">
      <x:c r="A81" s="15"/>
      <x:c r="B81" s="15"/>
      <x:c r="C81" s="12"/>
      <x:c r="D81" s="12"/>
      <x:c r="E81" s="12"/>
      <x:c r="F81" s="10"/>
      <x:c r="G81" s="10"/>
      <x:c r="H81" s="10"/>
      <x:c r="I81" s="11" t="str">
        <x:f>IF(COUNTA(A81:H81)=0,"",IF(A81="","Missing query ID",IF(COUNTIFS(QueryData[Query ID],"="&amp;SUBSTITUTE(SUBSTITUTE(SUBSTITUTE(A81,"~","~~"),"*","~*"),"?","~?"))=0,"Unknown query ID",IF(B81="","Missing record ID",IF(OR(OR(NOT(ISTEXT(A81)),TRIM(A81)&lt;&gt;A81),OR(NOT(ISTEXT(B81)),TRIM(B81)&lt;&gt;B81)),"IDs must be text without outer spaces",IF(COUNTIFS(RecordData[Query ID],"="&amp;SUBSTITUTE(SUBSTITUTE(SUBSTITUTE(A81,"~","~~"),"*","~*"),"?","~?"),RecordData[Record ID],"="&amp;SUBSTITUTE(SUBSTITUTE(SUBSTITUTE(B81,"~","~~"),"*","~*"),"?","~?"))&gt;1,"Duplicate record ID",IF(OR(IF(G81="",FALSE,IF(ISNUMBER(G81),OR(G81&lt;1,G81&lt;&gt;INT(G81)),TRUE)),IF(H81="",FALSE,IF(ISNUMBER(H81),OR(H81&lt;1,H81&lt;&gt;INT(H81)),TRUE))),"Invalid rank",IF(OR(IF(G81="",FALSE,COUNTIFS(RecordData[Query ID],"="&amp;SUBSTITUTE(SUBSTITUTE(SUBSTITUTE(A81,"~","~~"),"*","~*"),"?","~?"),RecordData[Rank A],G81)&gt;1),IF(H81="",FALSE,COUNTIFS(RecordData[Query ID],"="&amp;SUBSTITUTE(SUBSTITUTE(SUBSTITUTE(A81,"~","~~"),"*","~*"),"?","~?"),RecordData[Rank B],H81)&gt;1)),"Duplicate rank",IF(AND(F81&lt;&gt;"",F81&lt;&gt;"Yes",F81&lt;&gt;"No"),"Invalid seed flag",IF(AND(D81&lt;&gt;"",D81&lt;&gt;"Relevant",D81&lt;&gt;"Not relevant",D81&lt;&gt;"Unjudged"),"Invalid judgement",IF(AND(F81="Yes",D81="Not relevant"),"Seed marked not relevant",IF(AND(G81="",H81="",F81&lt;&gt;"Yes"),"Absent record must be a seed","OK"))))))))))))</x:f>
      </x:c>
      <x:c r="J81" s="11" t="n">
        <x:f>IF(AND(ISNUMBER(G81),G81&gt;=1,G81&lt;=Comparison!$B$4),1,0)</x:f>
        <x:v>0</x:v>
      </x:c>
      <x:c r="K81" s="11" t="n">
        <x:f>IF(AND(ISNUMBER(H81),H81&gt;=1,H81&lt;=Comparison!$B$4),1,0)</x:f>
        <x:v>0</x:v>
      </x:c>
      <x:c r="L81" s="11" t="n">
        <x:f>IF(AND(J81=1,D81="Relevant"),1,0)</x:f>
        <x:v>0</x:v>
      </x:c>
      <x:c r="M81" s="11" t="n">
        <x:f>IF(AND(K81=1,D81="Relevant"),1,0)</x:f>
        <x:v>0</x:v>
      </x:c>
      <x:c r="N81" s="11" t="n">
        <x:f>IF(AND(OR(J81=1,K81=1),D81&lt;&gt;"Relevant",D81&lt;&gt;"Not relevant"),1,0)</x:f>
        <x:v>0</x:v>
      </x:c>
      <x:c r="O81" s="11" t="n">
        <x:f>IF(AND(J81=1,F81="Yes"),1,0)</x:f>
        <x:v>0</x:v>
      </x:c>
      <x:c r="P81" s="11" t="n">
        <x:f>IF(AND(K81=1,F81="Yes"),1,0)</x:f>
        <x:v>0</x:v>
      </x:c>
      <x:c r="Q81" s="11" t="n">
        <x:f>IF(F81="Yes",1,0)</x:f>
        <x:v>0</x:v>
      </x:c>
    </x:row>
    <x:row r="82" ht="48" customHeight="1">
      <x:c r="A82" s="15"/>
      <x:c r="B82" s="15"/>
      <x:c r="C82" s="12"/>
      <x:c r="D82" s="12"/>
      <x:c r="E82" s="12"/>
      <x:c r="F82" s="10"/>
      <x:c r="G82" s="10"/>
      <x:c r="H82" s="10"/>
      <x:c r="I82" s="11" t="str">
        <x:f>IF(COUNTA(A82:H82)=0,"",IF(A82="","Missing query ID",IF(COUNTIFS(QueryData[Query ID],"="&amp;SUBSTITUTE(SUBSTITUTE(SUBSTITUTE(A82,"~","~~"),"*","~*"),"?","~?"))=0,"Unknown query ID",IF(B82="","Missing record ID",IF(OR(OR(NOT(ISTEXT(A82)),TRIM(A82)&lt;&gt;A82),OR(NOT(ISTEXT(B82)),TRIM(B82)&lt;&gt;B82)),"IDs must be text without outer spaces",IF(COUNTIFS(RecordData[Query ID],"="&amp;SUBSTITUTE(SUBSTITUTE(SUBSTITUTE(A82,"~","~~"),"*","~*"),"?","~?"),RecordData[Record ID],"="&amp;SUBSTITUTE(SUBSTITUTE(SUBSTITUTE(B82,"~","~~"),"*","~*"),"?","~?"))&gt;1,"Duplicate record ID",IF(OR(IF(G82="",FALSE,IF(ISNUMBER(G82),OR(G82&lt;1,G82&lt;&gt;INT(G82)),TRUE)),IF(H82="",FALSE,IF(ISNUMBER(H82),OR(H82&lt;1,H82&lt;&gt;INT(H82)),TRUE))),"Invalid rank",IF(OR(IF(G82="",FALSE,COUNTIFS(RecordData[Query ID],"="&amp;SUBSTITUTE(SUBSTITUTE(SUBSTITUTE(A82,"~","~~"),"*","~*"),"?","~?"),RecordData[Rank A],G82)&gt;1),IF(H82="",FALSE,COUNTIFS(RecordData[Query ID],"="&amp;SUBSTITUTE(SUBSTITUTE(SUBSTITUTE(A82,"~","~~"),"*","~*"),"?","~?"),RecordData[Rank B],H82)&gt;1)),"Duplicate rank",IF(AND(F82&lt;&gt;"",F82&lt;&gt;"Yes",F82&lt;&gt;"No"),"Invalid seed flag",IF(AND(D82&lt;&gt;"",D82&lt;&gt;"Relevant",D82&lt;&gt;"Not relevant",D82&lt;&gt;"Unjudged"),"Invalid judgement",IF(AND(F82="Yes",D82="Not relevant"),"Seed marked not relevant",IF(AND(G82="",H82="",F82&lt;&gt;"Yes"),"Absent record must be a seed","OK"))))))))))))</x:f>
      </x:c>
      <x:c r="J82" s="11" t="n">
        <x:f>IF(AND(ISNUMBER(G82),G82&gt;=1,G82&lt;=Comparison!$B$4),1,0)</x:f>
        <x:v>0</x:v>
      </x:c>
      <x:c r="K82" s="11" t="n">
        <x:f>IF(AND(ISNUMBER(H82),H82&gt;=1,H82&lt;=Comparison!$B$4),1,0)</x:f>
        <x:v>0</x:v>
      </x:c>
      <x:c r="L82" s="11" t="n">
        <x:f>IF(AND(J82=1,D82="Relevant"),1,0)</x:f>
        <x:v>0</x:v>
      </x:c>
      <x:c r="M82" s="11" t="n">
        <x:f>IF(AND(K82=1,D82="Relevant"),1,0)</x:f>
        <x:v>0</x:v>
      </x:c>
      <x:c r="N82" s="11" t="n">
        <x:f>IF(AND(OR(J82=1,K82=1),D82&lt;&gt;"Relevant",D82&lt;&gt;"Not relevant"),1,0)</x:f>
        <x:v>0</x:v>
      </x:c>
      <x:c r="O82" s="11" t="n">
        <x:f>IF(AND(J82=1,F82="Yes"),1,0)</x:f>
        <x:v>0</x:v>
      </x:c>
      <x:c r="P82" s="11" t="n">
        <x:f>IF(AND(K82=1,F82="Yes"),1,0)</x:f>
        <x:v>0</x:v>
      </x:c>
      <x:c r="Q82" s="11" t="n">
        <x:f>IF(F82="Yes",1,0)</x:f>
        <x:v>0</x:v>
      </x:c>
    </x:row>
    <x:row r="83" ht="48" customHeight="1">
      <x:c r="A83" s="15"/>
      <x:c r="B83" s="15"/>
      <x:c r="C83" s="12"/>
      <x:c r="D83" s="12"/>
      <x:c r="E83" s="12"/>
      <x:c r="F83" s="10"/>
      <x:c r="G83" s="10"/>
      <x:c r="H83" s="10"/>
      <x:c r="I83" s="11" t="str">
        <x:f>IF(COUNTA(A83:H83)=0,"",IF(A83="","Missing query ID",IF(COUNTIFS(QueryData[Query ID],"="&amp;SUBSTITUTE(SUBSTITUTE(SUBSTITUTE(A83,"~","~~"),"*","~*"),"?","~?"))=0,"Unknown query ID",IF(B83="","Missing record ID",IF(OR(OR(NOT(ISTEXT(A83)),TRIM(A83)&lt;&gt;A83),OR(NOT(ISTEXT(B83)),TRIM(B83)&lt;&gt;B83)),"IDs must be text without outer spaces",IF(COUNTIFS(RecordData[Query ID],"="&amp;SUBSTITUTE(SUBSTITUTE(SUBSTITUTE(A83,"~","~~"),"*","~*"),"?","~?"),RecordData[Record ID],"="&amp;SUBSTITUTE(SUBSTITUTE(SUBSTITUTE(B83,"~","~~"),"*","~*"),"?","~?"))&gt;1,"Duplicate record ID",IF(OR(IF(G83="",FALSE,IF(ISNUMBER(G83),OR(G83&lt;1,G83&lt;&gt;INT(G83)),TRUE)),IF(H83="",FALSE,IF(ISNUMBER(H83),OR(H83&lt;1,H83&lt;&gt;INT(H83)),TRUE))),"Invalid rank",IF(OR(IF(G83="",FALSE,COUNTIFS(RecordData[Query ID],"="&amp;SUBSTITUTE(SUBSTITUTE(SUBSTITUTE(A83,"~","~~"),"*","~*"),"?","~?"),RecordData[Rank A],G83)&gt;1),IF(H83="",FALSE,COUNTIFS(RecordData[Query ID],"="&amp;SUBSTITUTE(SUBSTITUTE(SUBSTITUTE(A83,"~","~~"),"*","~*"),"?","~?"),RecordData[Rank B],H83)&gt;1)),"Duplicate rank",IF(AND(F83&lt;&gt;"",F83&lt;&gt;"Yes",F83&lt;&gt;"No"),"Invalid seed flag",IF(AND(D83&lt;&gt;"",D83&lt;&gt;"Relevant",D83&lt;&gt;"Not relevant",D83&lt;&gt;"Unjudged"),"Invalid judgement",IF(AND(F83="Yes",D83="Not relevant"),"Seed marked not relevant",IF(AND(G83="",H83="",F83&lt;&gt;"Yes"),"Absent record must be a seed","OK"))))))))))))</x:f>
      </x:c>
      <x:c r="J83" s="11" t="n">
        <x:f>IF(AND(ISNUMBER(G83),G83&gt;=1,G83&lt;=Comparison!$B$4),1,0)</x:f>
        <x:v>0</x:v>
      </x:c>
      <x:c r="K83" s="11" t="n">
        <x:f>IF(AND(ISNUMBER(H83),H83&gt;=1,H83&lt;=Comparison!$B$4),1,0)</x:f>
        <x:v>0</x:v>
      </x:c>
      <x:c r="L83" s="11" t="n">
        <x:f>IF(AND(J83=1,D83="Relevant"),1,0)</x:f>
        <x:v>0</x:v>
      </x:c>
      <x:c r="M83" s="11" t="n">
        <x:f>IF(AND(K83=1,D83="Relevant"),1,0)</x:f>
        <x:v>0</x:v>
      </x:c>
      <x:c r="N83" s="11" t="n">
        <x:f>IF(AND(OR(J83=1,K83=1),D83&lt;&gt;"Relevant",D83&lt;&gt;"Not relevant"),1,0)</x:f>
        <x:v>0</x:v>
      </x:c>
      <x:c r="O83" s="11" t="n">
        <x:f>IF(AND(J83=1,F83="Yes"),1,0)</x:f>
        <x:v>0</x:v>
      </x:c>
      <x:c r="P83" s="11" t="n">
        <x:f>IF(AND(K83=1,F83="Yes"),1,0)</x:f>
        <x:v>0</x:v>
      </x:c>
      <x:c r="Q83" s="11" t="n">
        <x:f>IF(F83="Yes",1,0)</x:f>
        <x:v>0</x:v>
      </x:c>
    </x:row>
    <x:row r="84" ht="48" customHeight="1">
      <x:c r="A84" s="15"/>
      <x:c r="B84" s="15"/>
      <x:c r="C84" s="12"/>
      <x:c r="D84" s="12"/>
      <x:c r="E84" s="12"/>
      <x:c r="F84" s="10"/>
      <x:c r="G84" s="10"/>
      <x:c r="H84" s="10"/>
      <x:c r="I84" s="11" t="str">
        <x:f>IF(COUNTA(A84:H84)=0,"",IF(A84="","Missing query ID",IF(COUNTIFS(QueryData[Query ID],"="&amp;SUBSTITUTE(SUBSTITUTE(SUBSTITUTE(A84,"~","~~"),"*","~*"),"?","~?"))=0,"Unknown query ID",IF(B84="","Missing record ID",IF(OR(OR(NOT(ISTEXT(A84)),TRIM(A84)&lt;&gt;A84),OR(NOT(ISTEXT(B84)),TRIM(B84)&lt;&gt;B84)),"IDs must be text without outer spaces",IF(COUNTIFS(RecordData[Query ID],"="&amp;SUBSTITUTE(SUBSTITUTE(SUBSTITUTE(A84,"~","~~"),"*","~*"),"?","~?"),RecordData[Record ID],"="&amp;SUBSTITUTE(SUBSTITUTE(SUBSTITUTE(B84,"~","~~"),"*","~*"),"?","~?"))&gt;1,"Duplicate record ID",IF(OR(IF(G84="",FALSE,IF(ISNUMBER(G84),OR(G84&lt;1,G84&lt;&gt;INT(G84)),TRUE)),IF(H84="",FALSE,IF(ISNUMBER(H84),OR(H84&lt;1,H84&lt;&gt;INT(H84)),TRUE))),"Invalid rank",IF(OR(IF(G84="",FALSE,COUNTIFS(RecordData[Query ID],"="&amp;SUBSTITUTE(SUBSTITUTE(SUBSTITUTE(A84,"~","~~"),"*","~*"),"?","~?"),RecordData[Rank A],G84)&gt;1),IF(H84="",FALSE,COUNTIFS(RecordData[Query ID],"="&amp;SUBSTITUTE(SUBSTITUTE(SUBSTITUTE(A84,"~","~~"),"*","~*"),"?","~?"),RecordData[Rank B],H84)&gt;1)),"Duplicate rank",IF(AND(F84&lt;&gt;"",F84&lt;&gt;"Yes",F84&lt;&gt;"No"),"Invalid seed flag",IF(AND(D84&lt;&gt;"",D84&lt;&gt;"Relevant",D84&lt;&gt;"Not relevant",D84&lt;&gt;"Unjudged"),"Invalid judgement",IF(AND(F84="Yes",D84="Not relevant"),"Seed marked not relevant",IF(AND(G84="",H84="",F84&lt;&gt;"Yes"),"Absent record must be a seed","OK"))))))))))))</x:f>
      </x:c>
      <x:c r="J84" s="11" t="n">
        <x:f>IF(AND(ISNUMBER(G84),G84&gt;=1,G84&lt;=Comparison!$B$4),1,0)</x:f>
        <x:v>0</x:v>
      </x:c>
      <x:c r="K84" s="11" t="n">
        <x:f>IF(AND(ISNUMBER(H84),H84&gt;=1,H84&lt;=Comparison!$B$4),1,0)</x:f>
        <x:v>0</x:v>
      </x:c>
      <x:c r="L84" s="11" t="n">
        <x:f>IF(AND(J84=1,D84="Relevant"),1,0)</x:f>
        <x:v>0</x:v>
      </x:c>
      <x:c r="M84" s="11" t="n">
        <x:f>IF(AND(K84=1,D84="Relevant"),1,0)</x:f>
        <x:v>0</x:v>
      </x:c>
      <x:c r="N84" s="11" t="n">
        <x:f>IF(AND(OR(J84=1,K84=1),D84&lt;&gt;"Relevant",D84&lt;&gt;"Not relevant"),1,0)</x:f>
        <x:v>0</x:v>
      </x:c>
      <x:c r="O84" s="11" t="n">
        <x:f>IF(AND(J84=1,F84="Yes"),1,0)</x:f>
        <x:v>0</x:v>
      </x:c>
      <x:c r="P84" s="11" t="n">
        <x:f>IF(AND(K84=1,F84="Yes"),1,0)</x:f>
        <x:v>0</x:v>
      </x:c>
      <x:c r="Q84" s="11" t="n">
        <x:f>IF(F84="Yes",1,0)</x:f>
        <x:v>0</x:v>
      </x:c>
    </x:row>
    <x:row r="85" ht="48" customHeight="1">
      <x:c r="A85" s="15"/>
      <x:c r="B85" s="15"/>
      <x:c r="C85" s="12"/>
      <x:c r="D85" s="12"/>
      <x:c r="E85" s="12"/>
      <x:c r="F85" s="10"/>
      <x:c r="G85" s="10"/>
      <x:c r="H85" s="10"/>
      <x:c r="I85" s="11" t="str">
        <x:f>IF(COUNTA(A85:H85)=0,"",IF(A85="","Missing query ID",IF(COUNTIFS(QueryData[Query ID],"="&amp;SUBSTITUTE(SUBSTITUTE(SUBSTITUTE(A85,"~","~~"),"*","~*"),"?","~?"))=0,"Unknown query ID",IF(B85="","Missing record ID",IF(OR(OR(NOT(ISTEXT(A85)),TRIM(A85)&lt;&gt;A85),OR(NOT(ISTEXT(B85)),TRIM(B85)&lt;&gt;B85)),"IDs must be text without outer spaces",IF(COUNTIFS(RecordData[Query ID],"="&amp;SUBSTITUTE(SUBSTITUTE(SUBSTITUTE(A85,"~","~~"),"*","~*"),"?","~?"),RecordData[Record ID],"="&amp;SUBSTITUTE(SUBSTITUTE(SUBSTITUTE(B85,"~","~~"),"*","~*"),"?","~?"))&gt;1,"Duplicate record ID",IF(OR(IF(G85="",FALSE,IF(ISNUMBER(G85),OR(G85&lt;1,G85&lt;&gt;INT(G85)),TRUE)),IF(H85="",FALSE,IF(ISNUMBER(H85),OR(H85&lt;1,H85&lt;&gt;INT(H85)),TRUE))),"Invalid rank",IF(OR(IF(G85="",FALSE,COUNTIFS(RecordData[Query ID],"="&amp;SUBSTITUTE(SUBSTITUTE(SUBSTITUTE(A85,"~","~~"),"*","~*"),"?","~?"),RecordData[Rank A],G85)&gt;1),IF(H85="",FALSE,COUNTIFS(RecordData[Query ID],"="&amp;SUBSTITUTE(SUBSTITUTE(SUBSTITUTE(A85,"~","~~"),"*","~*"),"?","~?"),RecordData[Rank B],H85)&gt;1)),"Duplicate rank",IF(AND(F85&lt;&gt;"",F85&lt;&gt;"Yes",F85&lt;&gt;"No"),"Invalid seed flag",IF(AND(D85&lt;&gt;"",D85&lt;&gt;"Relevant",D85&lt;&gt;"Not relevant",D85&lt;&gt;"Unjudged"),"Invalid judgement",IF(AND(F85="Yes",D85="Not relevant"),"Seed marked not relevant",IF(AND(G85="",H85="",F85&lt;&gt;"Yes"),"Absent record must be a seed","OK"))))))))))))</x:f>
      </x:c>
      <x:c r="J85" s="11" t="n">
        <x:f>IF(AND(ISNUMBER(G85),G85&gt;=1,G85&lt;=Comparison!$B$4),1,0)</x:f>
        <x:v>0</x:v>
      </x:c>
      <x:c r="K85" s="11" t="n">
        <x:f>IF(AND(ISNUMBER(H85),H85&gt;=1,H85&lt;=Comparison!$B$4),1,0)</x:f>
        <x:v>0</x:v>
      </x:c>
      <x:c r="L85" s="11" t="n">
        <x:f>IF(AND(J85=1,D85="Relevant"),1,0)</x:f>
        <x:v>0</x:v>
      </x:c>
      <x:c r="M85" s="11" t="n">
        <x:f>IF(AND(K85=1,D85="Relevant"),1,0)</x:f>
        <x:v>0</x:v>
      </x:c>
      <x:c r="N85" s="11" t="n">
        <x:f>IF(AND(OR(J85=1,K85=1),D85&lt;&gt;"Relevant",D85&lt;&gt;"Not relevant"),1,0)</x:f>
        <x:v>0</x:v>
      </x:c>
      <x:c r="O85" s="11" t="n">
        <x:f>IF(AND(J85=1,F85="Yes"),1,0)</x:f>
        <x:v>0</x:v>
      </x:c>
      <x:c r="P85" s="11" t="n">
        <x:f>IF(AND(K85=1,F85="Yes"),1,0)</x:f>
        <x:v>0</x:v>
      </x:c>
      <x:c r="Q85" s="11" t="n">
        <x:f>IF(F85="Yes",1,0)</x:f>
        <x:v>0</x:v>
      </x:c>
    </x:row>
    <x:row r="86" ht="48" customHeight="1">
      <x:c r="A86" s="15"/>
      <x:c r="B86" s="15"/>
      <x:c r="C86" s="12"/>
      <x:c r="D86" s="12"/>
      <x:c r="E86" s="12"/>
      <x:c r="F86" s="10"/>
      <x:c r="G86" s="10"/>
      <x:c r="H86" s="10"/>
      <x:c r="I86" s="11" t="str">
        <x:f>IF(COUNTA(A86:H86)=0,"",IF(A86="","Missing query ID",IF(COUNTIFS(QueryData[Query ID],"="&amp;SUBSTITUTE(SUBSTITUTE(SUBSTITUTE(A86,"~","~~"),"*","~*"),"?","~?"))=0,"Unknown query ID",IF(B86="","Missing record ID",IF(OR(OR(NOT(ISTEXT(A86)),TRIM(A86)&lt;&gt;A86),OR(NOT(ISTEXT(B86)),TRIM(B86)&lt;&gt;B86)),"IDs must be text without outer spaces",IF(COUNTIFS(RecordData[Query ID],"="&amp;SUBSTITUTE(SUBSTITUTE(SUBSTITUTE(A86,"~","~~"),"*","~*"),"?","~?"),RecordData[Record ID],"="&amp;SUBSTITUTE(SUBSTITUTE(SUBSTITUTE(B86,"~","~~"),"*","~*"),"?","~?"))&gt;1,"Duplicate record ID",IF(OR(IF(G86="",FALSE,IF(ISNUMBER(G86),OR(G86&lt;1,G86&lt;&gt;INT(G86)),TRUE)),IF(H86="",FALSE,IF(ISNUMBER(H86),OR(H86&lt;1,H86&lt;&gt;INT(H86)),TRUE))),"Invalid rank",IF(OR(IF(G86="",FALSE,COUNTIFS(RecordData[Query ID],"="&amp;SUBSTITUTE(SUBSTITUTE(SUBSTITUTE(A86,"~","~~"),"*","~*"),"?","~?"),RecordData[Rank A],G86)&gt;1),IF(H86="",FALSE,COUNTIFS(RecordData[Query ID],"="&amp;SUBSTITUTE(SUBSTITUTE(SUBSTITUTE(A86,"~","~~"),"*","~*"),"?","~?"),RecordData[Rank B],H86)&gt;1)),"Duplicate rank",IF(AND(F86&lt;&gt;"",F86&lt;&gt;"Yes",F86&lt;&gt;"No"),"Invalid seed flag",IF(AND(D86&lt;&gt;"",D86&lt;&gt;"Relevant",D86&lt;&gt;"Not relevant",D86&lt;&gt;"Unjudged"),"Invalid judgement",IF(AND(F86="Yes",D86="Not relevant"),"Seed marked not relevant",IF(AND(G86="",H86="",F86&lt;&gt;"Yes"),"Absent record must be a seed","OK"))))))))))))</x:f>
      </x:c>
      <x:c r="J86" s="11" t="n">
        <x:f>IF(AND(ISNUMBER(G86),G86&gt;=1,G86&lt;=Comparison!$B$4),1,0)</x:f>
        <x:v>0</x:v>
      </x:c>
      <x:c r="K86" s="11" t="n">
        <x:f>IF(AND(ISNUMBER(H86),H86&gt;=1,H86&lt;=Comparison!$B$4),1,0)</x:f>
        <x:v>0</x:v>
      </x:c>
      <x:c r="L86" s="11" t="n">
        <x:f>IF(AND(J86=1,D86="Relevant"),1,0)</x:f>
        <x:v>0</x:v>
      </x:c>
      <x:c r="M86" s="11" t="n">
        <x:f>IF(AND(K86=1,D86="Relevant"),1,0)</x:f>
        <x:v>0</x:v>
      </x:c>
      <x:c r="N86" s="11" t="n">
        <x:f>IF(AND(OR(J86=1,K86=1),D86&lt;&gt;"Relevant",D86&lt;&gt;"Not relevant"),1,0)</x:f>
        <x:v>0</x:v>
      </x:c>
      <x:c r="O86" s="11" t="n">
        <x:f>IF(AND(J86=1,F86="Yes"),1,0)</x:f>
        <x:v>0</x:v>
      </x:c>
      <x:c r="P86" s="11" t="n">
        <x:f>IF(AND(K86=1,F86="Yes"),1,0)</x:f>
        <x:v>0</x:v>
      </x:c>
      <x:c r="Q86" s="11" t="n">
        <x:f>IF(F86="Yes",1,0)</x:f>
        <x:v>0</x:v>
      </x:c>
    </x:row>
    <x:row r="87" ht="48" customHeight="1">
      <x:c r="A87" s="15"/>
      <x:c r="B87" s="15"/>
      <x:c r="C87" s="12"/>
      <x:c r="D87" s="12"/>
      <x:c r="E87" s="12"/>
      <x:c r="F87" s="10"/>
      <x:c r="G87" s="10"/>
      <x:c r="H87" s="10"/>
      <x:c r="I87" s="11" t="str">
        <x:f>IF(COUNTA(A87:H87)=0,"",IF(A87="","Missing query ID",IF(COUNTIFS(QueryData[Query ID],"="&amp;SUBSTITUTE(SUBSTITUTE(SUBSTITUTE(A87,"~","~~"),"*","~*"),"?","~?"))=0,"Unknown query ID",IF(B87="","Missing record ID",IF(OR(OR(NOT(ISTEXT(A87)),TRIM(A87)&lt;&gt;A87),OR(NOT(ISTEXT(B87)),TRIM(B87)&lt;&gt;B87)),"IDs must be text without outer spaces",IF(COUNTIFS(RecordData[Query ID],"="&amp;SUBSTITUTE(SUBSTITUTE(SUBSTITUTE(A87,"~","~~"),"*","~*"),"?","~?"),RecordData[Record ID],"="&amp;SUBSTITUTE(SUBSTITUTE(SUBSTITUTE(B87,"~","~~"),"*","~*"),"?","~?"))&gt;1,"Duplicate record ID",IF(OR(IF(G87="",FALSE,IF(ISNUMBER(G87),OR(G87&lt;1,G87&lt;&gt;INT(G87)),TRUE)),IF(H87="",FALSE,IF(ISNUMBER(H87),OR(H87&lt;1,H87&lt;&gt;INT(H87)),TRUE))),"Invalid rank",IF(OR(IF(G87="",FALSE,COUNTIFS(RecordData[Query ID],"="&amp;SUBSTITUTE(SUBSTITUTE(SUBSTITUTE(A87,"~","~~"),"*","~*"),"?","~?"),RecordData[Rank A],G87)&gt;1),IF(H87="",FALSE,COUNTIFS(RecordData[Query ID],"="&amp;SUBSTITUTE(SUBSTITUTE(SUBSTITUTE(A87,"~","~~"),"*","~*"),"?","~?"),RecordData[Rank B],H87)&gt;1)),"Duplicate rank",IF(AND(F87&lt;&gt;"",F87&lt;&gt;"Yes",F87&lt;&gt;"No"),"Invalid seed flag",IF(AND(D87&lt;&gt;"",D87&lt;&gt;"Relevant",D87&lt;&gt;"Not relevant",D87&lt;&gt;"Unjudged"),"Invalid judgement",IF(AND(F87="Yes",D87="Not relevant"),"Seed marked not relevant",IF(AND(G87="",H87="",F87&lt;&gt;"Yes"),"Absent record must be a seed","OK"))))))))))))</x:f>
      </x:c>
      <x:c r="J87" s="11" t="n">
        <x:f>IF(AND(ISNUMBER(G87),G87&gt;=1,G87&lt;=Comparison!$B$4),1,0)</x:f>
        <x:v>0</x:v>
      </x:c>
      <x:c r="K87" s="11" t="n">
        <x:f>IF(AND(ISNUMBER(H87),H87&gt;=1,H87&lt;=Comparison!$B$4),1,0)</x:f>
        <x:v>0</x:v>
      </x:c>
      <x:c r="L87" s="11" t="n">
        <x:f>IF(AND(J87=1,D87="Relevant"),1,0)</x:f>
        <x:v>0</x:v>
      </x:c>
      <x:c r="M87" s="11" t="n">
        <x:f>IF(AND(K87=1,D87="Relevant"),1,0)</x:f>
        <x:v>0</x:v>
      </x:c>
      <x:c r="N87" s="11" t="n">
        <x:f>IF(AND(OR(J87=1,K87=1),D87&lt;&gt;"Relevant",D87&lt;&gt;"Not relevant"),1,0)</x:f>
        <x:v>0</x:v>
      </x:c>
      <x:c r="O87" s="11" t="n">
        <x:f>IF(AND(J87=1,F87="Yes"),1,0)</x:f>
        <x:v>0</x:v>
      </x:c>
      <x:c r="P87" s="11" t="n">
        <x:f>IF(AND(K87=1,F87="Yes"),1,0)</x:f>
        <x:v>0</x:v>
      </x:c>
      <x:c r="Q87" s="11" t="n">
        <x:f>IF(F87="Yes",1,0)</x:f>
        <x:v>0</x:v>
      </x:c>
    </x:row>
    <x:row r="88" ht="48" customHeight="1">
      <x:c r="A88" s="15"/>
      <x:c r="B88" s="15"/>
      <x:c r="C88" s="12"/>
      <x:c r="D88" s="12"/>
      <x:c r="E88" s="12"/>
      <x:c r="F88" s="10"/>
      <x:c r="G88" s="10"/>
      <x:c r="H88" s="10"/>
      <x:c r="I88" s="11" t="str">
        <x:f>IF(COUNTA(A88:H88)=0,"",IF(A88="","Missing query ID",IF(COUNTIFS(QueryData[Query ID],"="&amp;SUBSTITUTE(SUBSTITUTE(SUBSTITUTE(A88,"~","~~"),"*","~*"),"?","~?"))=0,"Unknown query ID",IF(B88="","Missing record ID",IF(OR(OR(NOT(ISTEXT(A88)),TRIM(A88)&lt;&gt;A88),OR(NOT(ISTEXT(B88)),TRIM(B88)&lt;&gt;B88)),"IDs must be text without outer spaces",IF(COUNTIFS(RecordData[Query ID],"="&amp;SUBSTITUTE(SUBSTITUTE(SUBSTITUTE(A88,"~","~~"),"*","~*"),"?","~?"),RecordData[Record ID],"="&amp;SUBSTITUTE(SUBSTITUTE(SUBSTITUTE(B88,"~","~~"),"*","~*"),"?","~?"))&gt;1,"Duplicate record ID",IF(OR(IF(G88="",FALSE,IF(ISNUMBER(G88),OR(G88&lt;1,G88&lt;&gt;INT(G88)),TRUE)),IF(H88="",FALSE,IF(ISNUMBER(H88),OR(H88&lt;1,H88&lt;&gt;INT(H88)),TRUE))),"Invalid rank",IF(OR(IF(G88="",FALSE,COUNTIFS(RecordData[Query ID],"="&amp;SUBSTITUTE(SUBSTITUTE(SUBSTITUTE(A88,"~","~~"),"*","~*"),"?","~?"),RecordData[Rank A],G88)&gt;1),IF(H88="",FALSE,COUNTIFS(RecordData[Query ID],"="&amp;SUBSTITUTE(SUBSTITUTE(SUBSTITUTE(A88,"~","~~"),"*","~*"),"?","~?"),RecordData[Rank B],H88)&gt;1)),"Duplicate rank",IF(AND(F88&lt;&gt;"",F88&lt;&gt;"Yes",F88&lt;&gt;"No"),"Invalid seed flag",IF(AND(D88&lt;&gt;"",D88&lt;&gt;"Relevant",D88&lt;&gt;"Not relevant",D88&lt;&gt;"Unjudged"),"Invalid judgement",IF(AND(F88="Yes",D88="Not relevant"),"Seed marked not relevant",IF(AND(G88="",H88="",F88&lt;&gt;"Yes"),"Absent record must be a seed","OK"))))))))))))</x:f>
      </x:c>
      <x:c r="J88" s="11" t="n">
        <x:f>IF(AND(ISNUMBER(G88),G88&gt;=1,G88&lt;=Comparison!$B$4),1,0)</x:f>
        <x:v>0</x:v>
      </x:c>
      <x:c r="K88" s="11" t="n">
        <x:f>IF(AND(ISNUMBER(H88),H88&gt;=1,H88&lt;=Comparison!$B$4),1,0)</x:f>
        <x:v>0</x:v>
      </x:c>
      <x:c r="L88" s="11" t="n">
        <x:f>IF(AND(J88=1,D88="Relevant"),1,0)</x:f>
        <x:v>0</x:v>
      </x:c>
      <x:c r="M88" s="11" t="n">
        <x:f>IF(AND(K88=1,D88="Relevant"),1,0)</x:f>
        <x:v>0</x:v>
      </x:c>
      <x:c r="N88" s="11" t="n">
        <x:f>IF(AND(OR(J88=1,K88=1),D88&lt;&gt;"Relevant",D88&lt;&gt;"Not relevant"),1,0)</x:f>
        <x:v>0</x:v>
      </x:c>
      <x:c r="O88" s="11" t="n">
        <x:f>IF(AND(J88=1,F88="Yes"),1,0)</x:f>
        <x:v>0</x:v>
      </x:c>
      <x:c r="P88" s="11" t="n">
        <x:f>IF(AND(K88=1,F88="Yes"),1,0)</x:f>
        <x:v>0</x:v>
      </x:c>
      <x:c r="Q88" s="11" t="n">
        <x:f>IF(F88="Yes",1,0)</x:f>
        <x:v>0</x:v>
      </x:c>
    </x:row>
    <x:row r="89" ht="48" customHeight="1">
      <x:c r="A89" s="15"/>
      <x:c r="B89" s="15"/>
      <x:c r="C89" s="12"/>
      <x:c r="D89" s="12"/>
      <x:c r="E89" s="12"/>
      <x:c r="F89" s="10"/>
      <x:c r="G89" s="10"/>
      <x:c r="H89" s="10"/>
      <x:c r="I89" s="11" t="str">
        <x:f>IF(COUNTA(A89:H89)=0,"",IF(A89="","Missing query ID",IF(COUNTIFS(QueryData[Query ID],"="&amp;SUBSTITUTE(SUBSTITUTE(SUBSTITUTE(A89,"~","~~"),"*","~*"),"?","~?"))=0,"Unknown query ID",IF(B89="","Missing record ID",IF(OR(OR(NOT(ISTEXT(A89)),TRIM(A89)&lt;&gt;A89),OR(NOT(ISTEXT(B89)),TRIM(B89)&lt;&gt;B89)),"IDs must be text without outer spaces",IF(COUNTIFS(RecordData[Query ID],"="&amp;SUBSTITUTE(SUBSTITUTE(SUBSTITUTE(A89,"~","~~"),"*","~*"),"?","~?"),RecordData[Record ID],"="&amp;SUBSTITUTE(SUBSTITUTE(SUBSTITUTE(B89,"~","~~"),"*","~*"),"?","~?"))&gt;1,"Duplicate record ID",IF(OR(IF(G89="",FALSE,IF(ISNUMBER(G89),OR(G89&lt;1,G89&lt;&gt;INT(G89)),TRUE)),IF(H89="",FALSE,IF(ISNUMBER(H89),OR(H89&lt;1,H89&lt;&gt;INT(H89)),TRUE))),"Invalid rank",IF(OR(IF(G89="",FALSE,COUNTIFS(RecordData[Query ID],"="&amp;SUBSTITUTE(SUBSTITUTE(SUBSTITUTE(A89,"~","~~"),"*","~*"),"?","~?"),RecordData[Rank A],G89)&gt;1),IF(H89="",FALSE,COUNTIFS(RecordData[Query ID],"="&amp;SUBSTITUTE(SUBSTITUTE(SUBSTITUTE(A89,"~","~~"),"*","~*"),"?","~?"),RecordData[Rank B],H89)&gt;1)),"Duplicate rank",IF(AND(F89&lt;&gt;"",F89&lt;&gt;"Yes",F89&lt;&gt;"No"),"Invalid seed flag",IF(AND(D89&lt;&gt;"",D89&lt;&gt;"Relevant",D89&lt;&gt;"Not relevant",D89&lt;&gt;"Unjudged"),"Invalid judgement",IF(AND(F89="Yes",D89="Not relevant"),"Seed marked not relevant",IF(AND(G89="",H89="",F89&lt;&gt;"Yes"),"Absent record must be a seed","OK"))))))))))))</x:f>
      </x:c>
      <x:c r="J89" s="11" t="n">
        <x:f>IF(AND(ISNUMBER(G89),G89&gt;=1,G89&lt;=Comparison!$B$4),1,0)</x:f>
        <x:v>0</x:v>
      </x:c>
      <x:c r="K89" s="11" t="n">
        <x:f>IF(AND(ISNUMBER(H89),H89&gt;=1,H89&lt;=Comparison!$B$4),1,0)</x:f>
        <x:v>0</x:v>
      </x:c>
      <x:c r="L89" s="11" t="n">
        <x:f>IF(AND(J89=1,D89="Relevant"),1,0)</x:f>
        <x:v>0</x:v>
      </x:c>
      <x:c r="M89" s="11" t="n">
        <x:f>IF(AND(K89=1,D89="Relevant"),1,0)</x:f>
        <x:v>0</x:v>
      </x:c>
      <x:c r="N89" s="11" t="n">
        <x:f>IF(AND(OR(J89=1,K89=1),D89&lt;&gt;"Relevant",D89&lt;&gt;"Not relevant"),1,0)</x:f>
        <x:v>0</x:v>
      </x:c>
      <x:c r="O89" s="11" t="n">
        <x:f>IF(AND(J89=1,F89="Yes"),1,0)</x:f>
        <x:v>0</x:v>
      </x:c>
      <x:c r="P89" s="11" t="n">
        <x:f>IF(AND(K89=1,F89="Yes"),1,0)</x:f>
        <x:v>0</x:v>
      </x:c>
      <x:c r="Q89" s="11" t="n">
        <x:f>IF(F89="Yes",1,0)</x:f>
        <x:v>0</x:v>
      </x:c>
    </x:row>
    <x:row r="90" ht="48" customHeight="1">
      <x:c r="A90" s="15"/>
      <x:c r="B90" s="15"/>
      <x:c r="C90" s="12"/>
      <x:c r="D90" s="12"/>
      <x:c r="E90" s="12"/>
      <x:c r="F90" s="10"/>
      <x:c r="G90" s="10"/>
      <x:c r="H90" s="10"/>
      <x:c r="I90" s="11" t="str">
        <x:f>IF(COUNTA(A90:H90)=0,"",IF(A90="","Missing query ID",IF(COUNTIFS(QueryData[Query ID],"="&amp;SUBSTITUTE(SUBSTITUTE(SUBSTITUTE(A90,"~","~~"),"*","~*"),"?","~?"))=0,"Unknown query ID",IF(B90="","Missing record ID",IF(OR(OR(NOT(ISTEXT(A90)),TRIM(A90)&lt;&gt;A90),OR(NOT(ISTEXT(B90)),TRIM(B90)&lt;&gt;B90)),"IDs must be text without outer spaces",IF(COUNTIFS(RecordData[Query ID],"="&amp;SUBSTITUTE(SUBSTITUTE(SUBSTITUTE(A90,"~","~~"),"*","~*"),"?","~?"),RecordData[Record ID],"="&amp;SUBSTITUTE(SUBSTITUTE(SUBSTITUTE(B90,"~","~~"),"*","~*"),"?","~?"))&gt;1,"Duplicate record ID",IF(OR(IF(G90="",FALSE,IF(ISNUMBER(G90),OR(G90&lt;1,G90&lt;&gt;INT(G90)),TRUE)),IF(H90="",FALSE,IF(ISNUMBER(H90),OR(H90&lt;1,H90&lt;&gt;INT(H90)),TRUE))),"Invalid rank",IF(OR(IF(G90="",FALSE,COUNTIFS(RecordData[Query ID],"="&amp;SUBSTITUTE(SUBSTITUTE(SUBSTITUTE(A90,"~","~~"),"*","~*"),"?","~?"),RecordData[Rank A],G90)&gt;1),IF(H90="",FALSE,COUNTIFS(RecordData[Query ID],"="&amp;SUBSTITUTE(SUBSTITUTE(SUBSTITUTE(A90,"~","~~"),"*","~*"),"?","~?"),RecordData[Rank B],H90)&gt;1)),"Duplicate rank",IF(AND(F90&lt;&gt;"",F90&lt;&gt;"Yes",F90&lt;&gt;"No"),"Invalid seed flag",IF(AND(D90&lt;&gt;"",D90&lt;&gt;"Relevant",D90&lt;&gt;"Not relevant",D90&lt;&gt;"Unjudged"),"Invalid judgement",IF(AND(F90="Yes",D90="Not relevant"),"Seed marked not relevant",IF(AND(G90="",H90="",F90&lt;&gt;"Yes"),"Absent record must be a seed","OK"))))))))))))</x:f>
      </x:c>
      <x:c r="J90" s="11" t="n">
        <x:f>IF(AND(ISNUMBER(G90),G90&gt;=1,G90&lt;=Comparison!$B$4),1,0)</x:f>
        <x:v>0</x:v>
      </x:c>
      <x:c r="K90" s="11" t="n">
        <x:f>IF(AND(ISNUMBER(H90),H90&gt;=1,H90&lt;=Comparison!$B$4),1,0)</x:f>
        <x:v>0</x:v>
      </x:c>
      <x:c r="L90" s="11" t="n">
        <x:f>IF(AND(J90=1,D90="Relevant"),1,0)</x:f>
        <x:v>0</x:v>
      </x:c>
      <x:c r="M90" s="11" t="n">
        <x:f>IF(AND(K90=1,D90="Relevant"),1,0)</x:f>
        <x:v>0</x:v>
      </x:c>
      <x:c r="N90" s="11" t="n">
        <x:f>IF(AND(OR(J90=1,K90=1),D90&lt;&gt;"Relevant",D90&lt;&gt;"Not relevant"),1,0)</x:f>
        <x:v>0</x:v>
      </x:c>
      <x:c r="O90" s="11" t="n">
        <x:f>IF(AND(J90=1,F90="Yes"),1,0)</x:f>
        <x:v>0</x:v>
      </x:c>
      <x:c r="P90" s="11" t="n">
        <x:f>IF(AND(K90=1,F90="Yes"),1,0)</x:f>
        <x:v>0</x:v>
      </x:c>
      <x:c r="Q90" s="11" t="n">
        <x:f>IF(F90="Yes",1,0)</x:f>
        <x:v>0</x:v>
      </x:c>
    </x:row>
    <x:row r="91" ht="48" customHeight="1">
      <x:c r="A91" s="15"/>
      <x:c r="B91" s="15"/>
      <x:c r="C91" s="12"/>
      <x:c r="D91" s="12"/>
      <x:c r="E91" s="12"/>
      <x:c r="F91" s="10"/>
      <x:c r="G91" s="10"/>
      <x:c r="H91" s="10"/>
      <x:c r="I91" s="11" t="str">
        <x:f>IF(COUNTA(A91:H91)=0,"",IF(A91="","Missing query ID",IF(COUNTIFS(QueryData[Query ID],"="&amp;SUBSTITUTE(SUBSTITUTE(SUBSTITUTE(A91,"~","~~"),"*","~*"),"?","~?"))=0,"Unknown query ID",IF(B91="","Missing record ID",IF(OR(OR(NOT(ISTEXT(A91)),TRIM(A91)&lt;&gt;A91),OR(NOT(ISTEXT(B91)),TRIM(B91)&lt;&gt;B91)),"IDs must be text without outer spaces",IF(COUNTIFS(RecordData[Query ID],"="&amp;SUBSTITUTE(SUBSTITUTE(SUBSTITUTE(A91,"~","~~"),"*","~*"),"?","~?"),RecordData[Record ID],"="&amp;SUBSTITUTE(SUBSTITUTE(SUBSTITUTE(B91,"~","~~"),"*","~*"),"?","~?"))&gt;1,"Duplicate record ID",IF(OR(IF(G91="",FALSE,IF(ISNUMBER(G91),OR(G91&lt;1,G91&lt;&gt;INT(G91)),TRUE)),IF(H91="",FALSE,IF(ISNUMBER(H91),OR(H91&lt;1,H91&lt;&gt;INT(H91)),TRUE))),"Invalid rank",IF(OR(IF(G91="",FALSE,COUNTIFS(RecordData[Query ID],"="&amp;SUBSTITUTE(SUBSTITUTE(SUBSTITUTE(A91,"~","~~"),"*","~*"),"?","~?"),RecordData[Rank A],G91)&gt;1),IF(H91="",FALSE,COUNTIFS(RecordData[Query ID],"="&amp;SUBSTITUTE(SUBSTITUTE(SUBSTITUTE(A91,"~","~~"),"*","~*"),"?","~?"),RecordData[Rank B],H91)&gt;1)),"Duplicate rank",IF(AND(F91&lt;&gt;"",F91&lt;&gt;"Yes",F91&lt;&gt;"No"),"Invalid seed flag",IF(AND(D91&lt;&gt;"",D91&lt;&gt;"Relevant",D91&lt;&gt;"Not relevant",D91&lt;&gt;"Unjudged"),"Invalid judgement",IF(AND(F91="Yes",D91="Not relevant"),"Seed marked not relevant",IF(AND(G91="",H91="",F91&lt;&gt;"Yes"),"Absent record must be a seed","OK"))))))))))))</x:f>
      </x:c>
      <x:c r="J91" s="11" t="n">
        <x:f>IF(AND(ISNUMBER(G91),G91&gt;=1,G91&lt;=Comparison!$B$4),1,0)</x:f>
        <x:v>0</x:v>
      </x:c>
      <x:c r="K91" s="11" t="n">
        <x:f>IF(AND(ISNUMBER(H91),H91&gt;=1,H91&lt;=Comparison!$B$4),1,0)</x:f>
        <x:v>0</x:v>
      </x:c>
      <x:c r="L91" s="11" t="n">
        <x:f>IF(AND(J91=1,D91="Relevant"),1,0)</x:f>
        <x:v>0</x:v>
      </x:c>
      <x:c r="M91" s="11" t="n">
        <x:f>IF(AND(K91=1,D91="Relevant"),1,0)</x:f>
        <x:v>0</x:v>
      </x:c>
      <x:c r="N91" s="11" t="n">
        <x:f>IF(AND(OR(J91=1,K91=1),D91&lt;&gt;"Relevant",D91&lt;&gt;"Not relevant"),1,0)</x:f>
        <x:v>0</x:v>
      </x:c>
      <x:c r="O91" s="11" t="n">
        <x:f>IF(AND(J91=1,F91="Yes"),1,0)</x:f>
        <x:v>0</x:v>
      </x:c>
      <x:c r="P91" s="11" t="n">
        <x:f>IF(AND(K91=1,F91="Yes"),1,0)</x:f>
        <x:v>0</x:v>
      </x:c>
      <x:c r="Q91" s="11" t="n">
        <x:f>IF(F91="Yes",1,0)</x:f>
        <x:v>0</x:v>
      </x:c>
    </x:row>
    <x:row r="92" ht="48" customHeight="1">
      <x:c r="A92" s="15"/>
      <x:c r="B92" s="15"/>
      <x:c r="C92" s="12"/>
      <x:c r="D92" s="12"/>
      <x:c r="E92" s="12"/>
      <x:c r="F92" s="10"/>
      <x:c r="G92" s="10"/>
      <x:c r="H92" s="10"/>
      <x:c r="I92" s="11" t="str">
        <x:f>IF(COUNTA(A92:H92)=0,"",IF(A92="","Missing query ID",IF(COUNTIFS(QueryData[Query ID],"="&amp;SUBSTITUTE(SUBSTITUTE(SUBSTITUTE(A92,"~","~~"),"*","~*"),"?","~?"))=0,"Unknown query ID",IF(B92="","Missing record ID",IF(OR(OR(NOT(ISTEXT(A92)),TRIM(A92)&lt;&gt;A92),OR(NOT(ISTEXT(B92)),TRIM(B92)&lt;&gt;B92)),"IDs must be text without outer spaces",IF(COUNTIFS(RecordData[Query ID],"="&amp;SUBSTITUTE(SUBSTITUTE(SUBSTITUTE(A92,"~","~~"),"*","~*"),"?","~?"),RecordData[Record ID],"="&amp;SUBSTITUTE(SUBSTITUTE(SUBSTITUTE(B92,"~","~~"),"*","~*"),"?","~?"))&gt;1,"Duplicate record ID",IF(OR(IF(G92="",FALSE,IF(ISNUMBER(G92),OR(G92&lt;1,G92&lt;&gt;INT(G92)),TRUE)),IF(H92="",FALSE,IF(ISNUMBER(H92),OR(H92&lt;1,H92&lt;&gt;INT(H92)),TRUE))),"Invalid rank",IF(OR(IF(G92="",FALSE,COUNTIFS(RecordData[Query ID],"="&amp;SUBSTITUTE(SUBSTITUTE(SUBSTITUTE(A92,"~","~~"),"*","~*"),"?","~?"),RecordData[Rank A],G92)&gt;1),IF(H92="",FALSE,COUNTIFS(RecordData[Query ID],"="&amp;SUBSTITUTE(SUBSTITUTE(SUBSTITUTE(A92,"~","~~"),"*","~*"),"?","~?"),RecordData[Rank B],H92)&gt;1)),"Duplicate rank",IF(AND(F92&lt;&gt;"",F92&lt;&gt;"Yes",F92&lt;&gt;"No"),"Invalid seed flag",IF(AND(D92&lt;&gt;"",D92&lt;&gt;"Relevant",D92&lt;&gt;"Not relevant",D92&lt;&gt;"Unjudged"),"Invalid judgement",IF(AND(F92="Yes",D92="Not relevant"),"Seed marked not relevant",IF(AND(G92="",H92="",F92&lt;&gt;"Yes"),"Absent record must be a seed","OK"))))))))))))</x:f>
      </x:c>
      <x:c r="J92" s="11" t="n">
        <x:f>IF(AND(ISNUMBER(G92),G92&gt;=1,G92&lt;=Comparison!$B$4),1,0)</x:f>
        <x:v>0</x:v>
      </x:c>
      <x:c r="K92" s="11" t="n">
        <x:f>IF(AND(ISNUMBER(H92),H92&gt;=1,H92&lt;=Comparison!$B$4),1,0)</x:f>
        <x:v>0</x:v>
      </x:c>
      <x:c r="L92" s="11" t="n">
        <x:f>IF(AND(J92=1,D92="Relevant"),1,0)</x:f>
        <x:v>0</x:v>
      </x:c>
      <x:c r="M92" s="11" t="n">
        <x:f>IF(AND(K92=1,D92="Relevant"),1,0)</x:f>
        <x:v>0</x:v>
      </x:c>
      <x:c r="N92" s="11" t="n">
        <x:f>IF(AND(OR(J92=1,K92=1),D92&lt;&gt;"Relevant",D92&lt;&gt;"Not relevant"),1,0)</x:f>
        <x:v>0</x:v>
      </x:c>
      <x:c r="O92" s="11" t="n">
        <x:f>IF(AND(J92=1,F92="Yes"),1,0)</x:f>
        <x:v>0</x:v>
      </x:c>
      <x:c r="P92" s="11" t="n">
        <x:f>IF(AND(K92=1,F92="Yes"),1,0)</x:f>
        <x:v>0</x:v>
      </x:c>
      <x:c r="Q92" s="11" t="n">
        <x:f>IF(F92="Yes",1,0)</x:f>
        <x:v>0</x:v>
      </x:c>
    </x:row>
    <x:row r="93" ht="48" customHeight="1">
      <x:c r="A93" s="15"/>
      <x:c r="B93" s="15"/>
      <x:c r="C93" s="12"/>
      <x:c r="D93" s="12"/>
      <x:c r="E93" s="12"/>
      <x:c r="F93" s="10"/>
      <x:c r="G93" s="10"/>
      <x:c r="H93" s="10"/>
      <x:c r="I93" s="11" t="str">
        <x:f>IF(COUNTA(A93:H93)=0,"",IF(A93="","Missing query ID",IF(COUNTIFS(QueryData[Query ID],"="&amp;SUBSTITUTE(SUBSTITUTE(SUBSTITUTE(A93,"~","~~"),"*","~*"),"?","~?"))=0,"Unknown query ID",IF(B93="","Missing record ID",IF(OR(OR(NOT(ISTEXT(A93)),TRIM(A93)&lt;&gt;A93),OR(NOT(ISTEXT(B93)),TRIM(B93)&lt;&gt;B93)),"IDs must be text without outer spaces",IF(COUNTIFS(RecordData[Query ID],"="&amp;SUBSTITUTE(SUBSTITUTE(SUBSTITUTE(A93,"~","~~"),"*","~*"),"?","~?"),RecordData[Record ID],"="&amp;SUBSTITUTE(SUBSTITUTE(SUBSTITUTE(B93,"~","~~"),"*","~*"),"?","~?"))&gt;1,"Duplicate record ID",IF(OR(IF(G93="",FALSE,IF(ISNUMBER(G93),OR(G93&lt;1,G93&lt;&gt;INT(G93)),TRUE)),IF(H93="",FALSE,IF(ISNUMBER(H93),OR(H93&lt;1,H93&lt;&gt;INT(H93)),TRUE))),"Invalid rank",IF(OR(IF(G93="",FALSE,COUNTIFS(RecordData[Query ID],"="&amp;SUBSTITUTE(SUBSTITUTE(SUBSTITUTE(A93,"~","~~"),"*","~*"),"?","~?"),RecordData[Rank A],G93)&gt;1),IF(H93="",FALSE,COUNTIFS(RecordData[Query ID],"="&amp;SUBSTITUTE(SUBSTITUTE(SUBSTITUTE(A93,"~","~~"),"*","~*"),"?","~?"),RecordData[Rank B],H93)&gt;1)),"Duplicate rank",IF(AND(F93&lt;&gt;"",F93&lt;&gt;"Yes",F93&lt;&gt;"No"),"Invalid seed flag",IF(AND(D93&lt;&gt;"",D93&lt;&gt;"Relevant",D93&lt;&gt;"Not relevant",D93&lt;&gt;"Unjudged"),"Invalid judgement",IF(AND(F93="Yes",D93="Not relevant"),"Seed marked not relevant",IF(AND(G93="",H93="",F93&lt;&gt;"Yes"),"Absent record must be a seed","OK"))))))))))))</x:f>
      </x:c>
      <x:c r="J93" s="11" t="n">
        <x:f>IF(AND(ISNUMBER(G93),G93&gt;=1,G93&lt;=Comparison!$B$4),1,0)</x:f>
        <x:v>0</x:v>
      </x:c>
      <x:c r="K93" s="11" t="n">
        <x:f>IF(AND(ISNUMBER(H93),H93&gt;=1,H93&lt;=Comparison!$B$4),1,0)</x:f>
        <x:v>0</x:v>
      </x:c>
      <x:c r="L93" s="11" t="n">
        <x:f>IF(AND(J93=1,D93="Relevant"),1,0)</x:f>
        <x:v>0</x:v>
      </x:c>
      <x:c r="M93" s="11" t="n">
        <x:f>IF(AND(K93=1,D93="Relevant"),1,0)</x:f>
        <x:v>0</x:v>
      </x:c>
      <x:c r="N93" s="11" t="n">
        <x:f>IF(AND(OR(J93=1,K93=1),D93&lt;&gt;"Relevant",D93&lt;&gt;"Not relevant"),1,0)</x:f>
        <x:v>0</x:v>
      </x:c>
      <x:c r="O93" s="11" t="n">
        <x:f>IF(AND(J93=1,F93="Yes"),1,0)</x:f>
        <x:v>0</x:v>
      </x:c>
      <x:c r="P93" s="11" t="n">
        <x:f>IF(AND(K93=1,F93="Yes"),1,0)</x:f>
        <x:v>0</x:v>
      </x:c>
      <x:c r="Q93" s="11" t="n">
        <x:f>IF(F93="Yes",1,0)</x:f>
        <x:v>0</x:v>
      </x:c>
    </x:row>
    <x:row r="94" ht="48" customHeight="1">
      <x:c r="A94" s="15"/>
      <x:c r="B94" s="15"/>
      <x:c r="C94" s="12"/>
      <x:c r="D94" s="12"/>
      <x:c r="E94" s="12"/>
      <x:c r="F94" s="10"/>
      <x:c r="G94" s="10"/>
      <x:c r="H94" s="10"/>
      <x:c r="I94" s="11" t="str">
        <x:f>IF(COUNTA(A94:H94)=0,"",IF(A94="","Missing query ID",IF(COUNTIFS(QueryData[Query ID],"="&amp;SUBSTITUTE(SUBSTITUTE(SUBSTITUTE(A94,"~","~~"),"*","~*"),"?","~?"))=0,"Unknown query ID",IF(B94="","Missing record ID",IF(OR(OR(NOT(ISTEXT(A94)),TRIM(A94)&lt;&gt;A94),OR(NOT(ISTEXT(B94)),TRIM(B94)&lt;&gt;B94)),"IDs must be text without outer spaces",IF(COUNTIFS(RecordData[Query ID],"="&amp;SUBSTITUTE(SUBSTITUTE(SUBSTITUTE(A94,"~","~~"),"*","~*"),"?","~?"),RecordData[Record ID],"="&amp;SUBSTITUTE(SUBSTITUTE(SUBSTITUTE(B94,"~","~~"),"*","~*"),"?","~?"))&gt;1,"Duplicate record ID",IF(OR(IF(G94="",FALSE,IF(ISNUMBER(G94),OR(G94&lt;1,G94&lt;&gt;INT(G94)),TRUE)),IF(H94="",FALSE,IF(ISNUMBER(H94),OR(H94&lt;1,H94&lt;&gt;INT(H94)),TRUE))),"Invalid rank",IF(OR(IF(G94="",FALSE,COUNTIFS(RecordData[Query ID],"="&amp;SUBSTITUTE(SUBSTITUTE(SUBSTITUTE(A94,"~","~~"),"*","~*"),"?","~?"),RecordData[Rank A],G94)&gt;1),IF(H94="",FALSE,COUNTIFS(RecordData[Query ID],"="&amp;SUBSTITUTE(SUBSTITUTE(SUBSTITUTE(A94,"~","~~"),"*","~*"),"?","~?"),RecordData[Rank B],H94)&gt;1)),"Duplicate rank",IF(AND(F94&lt;&gt;"",F94&lt;&gt;"Yes",F94&lt;&gt;"No"),"Invalid seed flag",IF(AND(D94&lt;&gt;"",D94&lt;&gt;"Relevant",D94&lt;&gt;"Not relevant",D94&lt;&gt;"Unjudged"),"Invalid judgement",IF(AND(F94="Yes",D94="Not relevant"),"Seed marked not relevant",IF(AND(G94="",H94="",F94&lt;&gt;"Yes"),"Absent record must be a seed","OK"))))))))))))</x:f>
      </x:c>
      <x:c r="J94" s="11" t="n">
        <x:f>IF(AND(ISNUMBER(G94),G94&gt;=1,G94&lt;=Comparison!$B$4),1,0)</x:f>
        <x:v>0</x:v>
      </x:c>
      <x:c r="K94" s="11" t="n">
        <x:f>IF(AND(ISNUMBER(H94),H94&gt;=1,H94&lt;=Comparison!$B$4),1,0)</x:f>
        <x:v>0</x:v>
      </x:c>
      <x:c r="L94" s="11" t="n">
        <x:f>IF(AND(J94=1,D94="Relevant"),1,0)</x:f>
        <x:v>0</x:v>
      </x:c>
      <x:c r="M94" s="11" t="n">
        <x:f>IF(AND(K94=1,D94="Relevant"),1,0)</x:f>
        <x:v>0</x:v>
      </x:c>
      <x:c r="N94" s="11" t="n">
        <x:f>IF(AND(OR(J94=1,K94=1),D94&lt;&gt;"Relevant",D94&lt;&gt;"Not relevant"),1,0)</x:f>
        <x:v>0</x:v>
      </x:c>
      <x:c r="O94" s="11" t="n">
        <x:f>IF(AND(J94=1,F94="Yes"),1,0)</x:f>
        <x:v>0</x:v>
      </x:c>
      <x:c r="P94" s="11" t="n">
        <x:f>IF(AND(K94=1,F94="Yes"),1,0)</x:f>
        <x:v>0</x:v>
      </x:c>
      <x:c r="Q94" s="11" t="n">
        <x:f>IF(F94="Yes",1,0)</x:f>
        <x:v>0</x:v>
      </x:c>
    </x:row>
    <x:row r="95" ht="48" customHeight="1">
      <x:c r="A95" s="15"/>
      <x:c r="B95" s="15"/>
      <x:c r="C95" s="12"/>
      <x:c r="D95" s="12"/>
      <x:c r="E95" s="12"/>
      <x:c r="F95" s="10"/>
      <x:c r="G95" s="10"/>
      <x:c r="H95" s="10"/>
      <x:c r="I95" s="11" t="str">
        <x:f>IF(COUNTA(A95:H95)=0,"",IF(A95="","Missing query ID",IF(COUNTIFS(QueryData[Query ID],"="&amp;SUBSTITUTE(SUBSTITUTE(SUBSTITUTE(A95,"~","~~"),"*","~*"),"?","~?"))=0,"Unknown query ID",IF(B95="","Missing record ID",IF(OR(OR(NOT(ISTEXT(A95)),TRIM(A95)&lt;&gt;A95),OR(NOT(ISTEXT(B95)),TRIM(B95)&lt;&gt;B95)),"IDs must be text without outer spaces",IF(COUNTIFS(RecordData[Query ID],"="&amp;SUBSTITUTE(SUBSTITUTE(SUBSTITUTE(A95,"~","~~"),"*","~*"),"?","~?"),RecordData[Record ID],"="&amp;SUBSTITUTE(SUBSTITUTE(SUBSTITUTE(B95,"~","~~"),"*","~*"),"?","~?"))&gt;1,"Duplicate record ID",IF(OR(IF(G95="",FALSE,IF(ISNUMBER(G95),OR(G95&lt;1,G95&lt;&gt;INT(G95)),TRUE)),IF(H95="",FALSE,IF(ISNUMBER(H95),OR(H95&lt;1,H95&lt;&gt;INT(H95)),TRUE))),"Invalid rank",IF(OR(IF(G95="",FALSE,COUNTIFS(RecordData[Query ID],"="&amp;SUBSTITUTE(SUBSTITUTE(SUBSTITUTE(A95,"~","~~"),"*","~*"),"?","~?"),RecordData[Rank A],G95)&gt;1),IF(H95="",FALSE,COUNTIFS(RecordData[Query ID],"="&amp;SUBSTITUTE(SUBSTITUTE(SUBSTITUTE(A95,"~","~~"),"*","~*"),"?","~?"),RecordData[Rank B],H95)&gt;1)),"Duplicate rank",IF(AND(F95&lt;&gt;"",F95&lt;&gt;"Yes",F95&lt;&gt;"No"),"Invalid seed flag",IF(AND(D95&lt;&gt;"",D95&lt;&gt;"Relevant",D95&lt;&gt;"Not relevant",D95&lt;&gt;"Unjudged"),"Invalid judgement",IF(AND(F95="Yes",D95="Not relevant"),"Seed marked not relevant",IF(AND(G95="",H95="",F95&lt;&gt;"Yes"),"Absent record must be a seed","OK"))))))))))))</x:f>
      </x:c>
      <x:c r="J95" s="11" t="n">
        <x:f>IF(AND(ISNUMBER(G95),G95&gt;=1,G95&lt;=Comparison!$B$4),1,0)</x:f>
        <x:v>0</x:v>
      </x:c>
      <x:c r="K95" s="11" t="n">
        <x:f>IF(AND(ISNUMBER(H95),H95&gt;=1,H95&lt;=Comparison!$B$4),1,0)</x:f>
        <x:v>0</x:v>
      </x:c>
      <x:c r="L95" s="11" t="n">
        <x:f>IF(AND(J95=1,D95="Relevant"),1,0)</x:f>
        <x:v>0</x:v>
      </x:c>
      <x:c r="M95" s="11" t="n">
        <x:f>IF(AND(K95=1,D95="Relevant"),1,0)</x:f>
        <x:v>0</x:v>
      </x:c>
      <x:c r="N95" s="11" t="n">
        <x:f>IF(AND(OR(J95=1,K95=1),D95&lt;&gt;"Relevant",D95&lt;&gt;"Not relevant"),1,0)</x:f>
        <x:v>0</x:v>
      </x:c>
      <x:c r="O95" s="11" t="n">
        <x:f>IF(AND(J95=1,F95="Yes"),1,0)</x:f>
        <x:v>0</x:v>
      </x:c>
      <x:c r="P95" s="11" t="n">
        <x:f>IF(AND(K95=1,F95="Yes"),1,0)</x:f>
        <x:v>0</x:v>
      </x:c>
      <x:c r="Q95" s="11" t="n">
        <x:f>IF(F95="Yes",1,0)</x:f>
        <x:v>0</x:v>
      </x:c>
    </x:row>
    <x:row r="96" ht="48" customHeight="1">
      <x:c r="A96" s="15"/>
      <x:c r="B96" s="15"/>
      <x:c r="C96" s="12"/>
      <x:c r="D96" s="12"/>
      <x:c r="E96" s="12"/>
      <x:c r="F96" s="10"/>
      <x:c r="G96" s="10"/>
      <x:c r="H96" s="10"/>
      <x:c r="I96" s="11" t="str">
        <x:f>IF(COUNTA(A96:H96)=0,"",IF(A96="","Missing query ID",IF(COUNTIFS(QueryData[Query ID],"="&amp;SUBSTITUTE(SUBSTITUTE(SUBSTITUTE(A96,"~","~~"),"*","~*"),"?","~?"))=0,"Unknown query ID",IF(B96="","Missing record ID",IF(OR(OR(NOT(ISTEXT(A96)),TRIM(A96)&lt;&gt;A96),OR(NOT(ISTEXT(B96)),TRIM(B96)&lt;&gt;B96)),"IDs must be text without outer spaces",IF(COUNTIFS(RecordData[Query ID],"="&amp;SUBSTITUTE(SUBSTITUTE(SUBSTITUTE(A96,"~","~~"),"*","~*"),"?","~?"),RecordData[Record ID],"="&amp;SUBSTITUTE(SUBSTITUTE(SUBSTITUTE(B96,"~","~~"),"*","~*"),"?","~?"))&gt;1,"Duplicate record ID",IF(OR(IF(G96="",FALSE,IF(ISNUMBER(G96),OR(G96&lt;1,G96&lt;&gt;INT(G96)),TRUE)),IF(H96="",FALSE,IF(ISNUMBER(H96),OR(H96&lt;1,H96&lt;&gt;INT(H96)),TRUE))),"Invalid rank",IF(OR(IF(G96="",FALSE,COUNTIFS(RecordData[Query ID],"="&amp;SUBSTITUTE(SUBSTITUTE(SUBSTITUTE(A96,"~","~~"),"*","~*"),"?","~?"),RecordData[Rank A],G96)&gt;1),IF(H96="",FALSE,COUNTIFS(RecordData[Query ID],"="&amp;SUBSTITUTE(SUBSTITUTE(SUBSTITUTE(A96,"~","~~"),"*","~*"),"?","~?"),RecordData[Rank B],H96)&gt;1)),"Duplicate rank",IF(AND(F96&lt;&gt;"",F96&lt;&gt;"Yes",F96&lt;&gt;"No"),"Invalid seed flag",IF(AND(D96&lt;&gt;"",D96&lt;&gt;"Relevant",D96&lt;&gt;"Not relevant",D96&lt;&gt;"Unjudged"),"Invalid judgement",IF(AND(F96="Yes",D96="Not relevant"),"Seed marked not relevant",IF(AND(G96="",H96="",F96&lt;&gt;"Yes"),"Absent record must be a seed","OK"))))))))))))</x:f>
      </x:c>
      <x:c r="J96" s="11" t="n">
        <x:f>IF(AND(ISNUMBER(G96),G96&gt;=1,G96&lt;=Comparison!$B$4),1,0)</x:f>
        <x:v>0</x:v>
      </x:c>
      <x:c r="K96" s="11" t="n">
        <x:f>IF(AND(ISNUMBER(H96),H96&gt;=1,H96&lt;=Comparison!$B$4),1,0)</x:f>
        <x:v>0</x:v>
      </x:c>
      <x:c r="L96" s="11" t="n">
        <x:f>IF(AND(J96=1,D96="Relevant"),1,0)</x:f>
        <x:v>0</x:v>
      </x:c>
      <x:c r="M96" s="11" t="n">
        <x:f>IF(AND(K96=1,D96="Relevant"),1,0)</x:f>
        <x:v>0</x:v>
      </x:c>
      <x:c r="N96" s="11" t="n">
        <x:f>IF(AND(OR(J96=1,K96=1),D96&lt;&gt;"Relevant",D96&lt;&gt;"Not relevant"),1,0)</x:f>
        <x:v>0</x:v>
      </x:c>
      <x:c r="O96" s="11" t="n">
        <x:f>IF(AND(J96=1,F96="Yes"),1,0)</x:f>
        <x:v>0</x:v>
      </x:c>
      <x:c r="P96" s="11" t="n">
        <x:f>IF(AND(K96=1,F96="Yes"),1,0)</x:f>
        <x:v>0</x:v>
      </x:c>
      <x:c r="Q96" s="11" t="n">
        <x:f>IF(F96="Yes",1,0)</x:f>
        <x:v>0</x:v>
      </x:c>
    </x:row>
    <x:row r="97" ht="48" customHeight="1">
      <x:c r="A97" s="15"/>
      <x:c r="B97" s="15"/>
      <x:c r="C97" s="12"/>
      <x:c r="D97" s="12"/>
      <x:c r="E97" s="12"/>
      <x:c r="F97" s="10"/>
      <x:c r="G97" s="10"/>
      <x:c r="H97" s="10"/>
      <x:c r="I97" s="11" t="str">
        <x:f>IF(COUNTA(A97:H97)=0,"",IF(A97="","Missing query ID",IF(COUNTIFS(QueryData[Query ID],"="&amp;SUBSTITUTE(SUBSTITUTE(SUBSTITUTE(A97,"~","~~"),"*","~*"),"?","~?"))=0,"Unknown query ID",IF(B97="","Missing record ID",IF(OR(OR(NOT(ISTEXT(A97)),TRIM(A97)&lt;&gt;A97),OR(NOT(ISTEXT(B97)),TRIM(B97)&lt;&gt;B97)),"IDs must be text without outer spaces",IF(COUNTIFS(RecordData[Query ID],"="&amp;SUBSTITUTE(SUBSTITUTE(SUBSTITUTE(A97,"~","~~"),"*","~*"),"?","~?"),RecordData[Record ID],"="&amp;SUBSTITUTE(SUBSTITUTE(SUBSTITUTE(B97,"~","~~"),"*","~*"),"?","~?"))&gt;1,"Duplicate record ID",IF(OR(IF(G97="",FALSE,IF(ISNUMBER(G97),OR(G97&lt;1,G97&lt;&gt;INT(G97)),TRUE)),IF(H97="",FALSE,IF(ISNUMBER(H97),OR(H97&lt;1,H97&lt;&gt;INT(H97)),TRUE))),"Invalid rank",IF(OR(IF(G97="",FALSE,COUNTIFS(RecordData[Query ID],"="&amp;SUBSTITUTE(SUBSTITUTE(SUBSTITUTE(A97,"~","~~"),"*","~*"),"?","~?"),RecordData[Rank A],G97)&gt;1),IF(H97="",FALSE,COUNTIFS(RecordData[Query ID],"="&amp;SUBSTITUTE(SUBSTITUTE(SUBSTITUTE(A97,"~","~~"),"*","~*"),"?","~?"),RecordData[Rank B],H97)&gt;1)),"Duplicate rank",IF(AND(F97&lt;&gt;"",F97&lt;&gt;"Yes",F97&lt;&gt;"No"),"Invalid seed flag",IF(AND(D97&lt;&gt;"",D97&lt;&gt;"Relevant",D97&lt;&gt;"Not relevant",D97&lt;&gt;"Unjudged"),"Invalid judgement",IF(AND(F97="Yes",D97="Not relevant"),"Seed marked not relevant",IF(AND(G97="",H97="",F97&lt;&gt;"Yes"),"Absent record must be a seed","OK"))))))))))))</x:f>
      </x:c>
      <x:c r="J97" s="11" t="n">
        <x:f>IF(AND(ISNUMBER(G97),G97&gt;=1,G97&lt;=Comparison!$B$4),1,0)</x:f>
        <x:v>0</x:v>
      </x:c>
      <x:c r="K97" s="11" t="n">
        <x:f>IF(AND(ISNUMBER(H97),H97&gt;=1,H97&lt;=Comparison!$B$4),1,0)</x:f>
        <x:v>0</x:v>
      </x:c>
      <x:c r="L97" s="11" t="n">
        <x:f>IF(AND(J97=1,D97="Relevant"),1,0)</x:f>
        <x:v>0</x:v>
      </x:c>
      <x:c r="M97" s="11" t="n">
        <x:f>IF(AND(K97=1,D97="Relevant"),1,0)</x:f>
        <x:v>0</x:v>
      </x:c>
      <x:c r="N97" s="11" t="n">
        <x:f>IF(AND(OR(J97=1,K97=1),D97&lt;&gt;"Relevant",D97&lt;&gt;"Not relevant"),1,0)</x:f>
        <x:v>0</x:v>
      </x:c>
      <x:c r="O97" s="11" t="n">
        <x:f>IF(AND(J97=1,F97="Yes"),1,0)</x:f>
        <x:v>0</x:v>
      </x:c>
      <x:c r="P97" s="11" t="n">
        <x:f>IF(AND(K97=1,F97="Yes"),1,0)</x:f>
        <x:v>0</x:v>
      </x:c>
      <x:c r="Q97" s="11" t="n">
        <x:f>IF(F97="Yes",1,0)</x:f>
        <x:v>0</x:v>
      </x:c>
    </x:row>
    <x:row r="98" ht="48" customHeight="1">
      <x:c r="A98" s="15"/>
      <x:c r="B98" s="15"/>
      <x:c r="C98" s="12"/>
      <x:c r="D98" s="12"/>
      <x:c r="E98" s="12"/>
      <x:c r="F98" s="10"/>
      <x:c r="G98" s="10"/>
      <x:c r="H98" s="10"/>
      <x:c r="I98" s="11" t="str">
        <x:f>IF(COUNTA(A98:H98)=0,"",IF(A98="","Missing query ID",IF(COUNTIFS(QueryData[Query ID],"="&amp;SUBSTITUTE(SUBSTITUTE(SUBSTITUTE(A98,"~","~~"),"*","~*"),"?","~?"))=0,"Unknown query ID",IF(B98="","Missing record ID",IF(OR(OR(NOT(ISTEXT(A98)),TRIM(A98)&lt;&gt;A98),OR(NOT(ISTEXT(B98)),TRIM(B98)&lt;&gt;B98)),"IDs must be text without outer spaces",IF(COUNTIFS(RecordData[Query ID],"="&amp;SUBSTITUTE(SUBSTITUTE(SUBSTITUTE(A98,"~","~~"),"*","~*"),"?","~?"),RecordData[Record ID],"="&amp;SUBSTITUTE(SUBSTITUTE(SUBSTITUTE(B98,"~","~~"),"*","~*"),"?","~?"))&gt;1,"Duplicate record ID",IF(OR(IF(G98="",FALSE,IF(ISNUMBER(G98),OR(G98&lt;1,G98&lt;&gt;INT(G98)),TRUE)),IF(H98="",FALSE,IF(ISNUMBER(H98),OR(H98&lt;1,H98&lt;&gt;INT(H98)),TRUE))),"Invalid rank",IF(OR(IF(G98="",FALSE,COUNTIFS(RecordData[Query ID],"="&amp;SUBSTITUTE(SUBSTITUTE(SUBSTITUTE(A98,"~","~~"),"*","~*"),"?","~?"),RecordData[Rank A],G98)&gt;1),IF(H98="",FALSE,COUNTIFS(RecordData[Query ID],"="&amp;SUBSTITUTE(SUBSTITUTE(SUBSTITUTE(A98,"~","~~"),"*","~*"),"?","~?"),RecordData[Rank B],H98)&gt;1)),"Duplicate rank",IF(AND(F98&lt;&gt;"",F98&lt;&gt;"Yes",F98&lt;&gt;"No"),"Invalid seed flag",IF(AND(D98&lt;&gt;"",D98&lt;&gt;"Relevant",D98&lt;&gt;"Not relevant",D98&lt;&gt;"Unjudged"),"Invalid judgement",IF(AND(F98="Yes",D98="Not relevant"),"Seed marked not relevant",IF(AND(G98="",H98="",F98&lt;&gt;"Yes"),"Absent record must be a seed","OK"))))))))))))</x:f>
      </x:c>
      <x:c r="J98" s="11" t="n">
        <x:f>IF(AND(ISNUMBER(G98),G98&gt;=1,G98&lt;=Comparison!$B$4),1,0)</x:f>
        <x:v>0</x:v>
      </x:c>
      <x:c r="K98" s="11" t="n">
        <x:f>IF(AND(ISNUMBER(H98),H98&gt;=1,H98&lt;=Comparison!$B$4),1,0)</x:f>
        <x:v>0</x:v>
      </x:c>
      <x:c r="L98" s="11" t="n">
        <x:f>IF(AND(J98=1,D98="Relevant"),1,0)</x:f>
        <x:v>0</x:v>
      </x:c>
      <x:c r="M98" s="11" t="n">
        <x:f>IF(AND(K98=1,D98="Relevant"),1,0)</x:f>
        <x:v>0</x:v>
      </x:c>
      <x:c r="N98" s="11" t="n">
        <x:f>IF(AND(OR(J98=1,K98=1),D98&lt;&gt;"Relevant",D98&lt;&gt;"Not relevant"),1,0)</x:f>
        <x:v>0</x:v>
      </x:c>
      <x:c r="O98" s="11" t="n">
        <x:f>IF(AND(J98=1,F98="Yes"),1,0)</x:f>
        <x:v>0</x:v>
      </x:c>
      <x:c r="P98" s="11" t="n">
        <x:f>IF(AND(K98=1,F98="Yes"),1,0)</x:f>
        <x:v>0</x:v>
      </x:c>
      <x:c r="Q98" s="11" t="n">
        <x:f>IF(F98="Yes",1,0)</x:f>
        <x:v>0</x:v>
      </x:c>
    </x:row>
    <x:row r="99" ht="48" customHeight="1">
      <x:c r="A99" s="15"/>
      <x:c r="B99" s="15"/>
      <x:c r="C99" s="12"/>
      <x:c r="D99" s="12"/>
      <x:c r="E99" s="12"/>
      <x:c r="F99" s="10"/>
      <x:c r="G99" s="10"/>
      <x:c r="H99" s="10"/>
      <x:c r="I99" s="11" t="str">
        <x:f>IF(COUNTA(A99:H99)=0,"",IF(A99="","Missing query ID",IF(COUNTIFS(QueryData[Query ID],"="&amp;SUBSTITUTE(SUBSTITUTE(SUBSTITUTE(A99,"~","~~"),"*","~*"),"?","~?"))=0,"Unknown query ID",IF(B99="","Missing record ID",IF(OR(OR(NOT(ISTEXT(A99)),TRIM(A99)&lt;&gt;A99),OR(NOT(ISTEXT(B99)),TRIM(B99)&lt;&gt;B99)),"IDs must be text without outer spaces",IF(COUNTIFS(RecordData[Query ID],"="&amp;SUBSTITUTE(SUBSTITUTE(SUBSTITUTE(A99,"~","~~"),"*","~*"),"?","~?"),RecordData[Record ID],"="&amp;SUBSTITUTE(SUBSTITUTE(SUBSTITUTE(B99,"~","~~"),"*","~*"),"?","~?"))&gt;1,"Duplicate record ID",IF(OR(IF(G99="",FALSE,IF(ISNUMBER(G99),OR(G99&lt;1,G99&lt;&gt;INT(G99)),TRUE)),IF(H99="",FALSE,IF(ISNUMBER(H99),OR(H99&lt;1,H99&lt;&gt;INT(H99)),TRUE))),"Invalid rank",IF(OR(IF(G99="",FALSE,COUNTIFS(RecordData[Query ID],"="&amp;SUBSTITUTE(SUBSTITUTE(SUBSTITUTE(A99,"~","~~"),"*","~*"),"?","~?"),RecordData[Rank A],G99)&gt;1),IF(H99="",FALSE,COUNTIFS(RecordData[Query ID],"="&amp;SUBSTITUTE(SUBSTITUTE(SUBSTITUTE(A99,"~","~~"),"*","~*"),"?","~?"),RecordData[Rank B],H99)&gt;1)),"Duplicate rank",IF(AND(F99&lt;&gt;"",F99&lt;&gt;"Yes",F99&lt;&gt;"No"),"Invalid seed flag",IF(AND(D99&lt;&gt;"",D99&lt;&gt;"Relevant",D99&lt;&gt;"Not relevant",D99&lt;&gt;"Unjudged"),"Invalid judgement",IF(AND(F99="Yes",D99="Not relevant"),"Seed marked not relevant",IF(AND(G99="",H99="",F99&lt;&gt;"Yes"),"Absent record must be a seed","OK"))))))))))))</x:f>
      </x:c>
      <x:c r="J99" s="11" t="n">
        <x:f>IF(AND(ISNUMBER(G99),G99&gt;=1,G99&lt;=Comparison!$B$4),1,0)</x:f>
        <x:v>0</x:v>
      </x:c>
      <x:c r="K99" s="11" t="n">
        <x:f>IF(AND(ISNUMBER(H99),H99&gt;=1,H99&lt;=Comparison!$B$4),1,0)</x:f>
        <x:v>0</x:v>
      </x:c>
      <x:c r="L99" s="11" t="n">
        <x:f>IF(AND(J99=1,D99="Relevant"),1,0)</x:f>
        <x:v>0</x:v>
      </x:c>
      <x:c r="M99" s="11" t="n">
        <x:f>IF(AND(K99=1,D99="Relevant"),1,0)</x:f>
        <x:v>0</x:v>
      </x:c>
      <x:c r="N99" s="11" t="n">
        <x:f>IF(AND(OR(J99=1,K99=1),D99&lt;&gt;"Relevant",D99&lt;&gt;"Not relevant"),1,0)</x:f>
        <x:v>0</x:v>
      </x:c>
      <x:c r="O99" s="11" t="n">
        <x:f>IF(AND(J99=1,F99="Yes"),1,0)</x:f>
        <x:v>0</x:v>
      </x:c>
      <x:c r="P99" s="11" t="n">
        <x:f>IF(AND(K99=1,F99="Yes"),1,0)</x:f>
        <x:v>0</x:v>
      </x:c>
      <x:c r="Q99" s="11" t="n">
        <x:f>IF(F99="Yes",1,0)</x:f>
        <x:v>0</x:v>
      </x:c>
    </x:row>
    <x:row r="100" ht="48" customHeight="1">
      <x:c r="A100" s="15"/>
      <x:c r="B100" s="15"/>
      <x:c r="C100" s="12"/>
      <x:c r="D100" s="12"/>
      <x:c r="E100" s="12"/>
      <x:c r="F100" s="10"/>
      <x:c r="G100" s="10"/>
      <x:c r="H100" s="10"/>
      <x:c r="I100" s="11" t="str">
        <x:f>IF(COUNTA(A100:H100)=0,"",IF(A100="","Missing query ID",IF(COUNTIFS(QueryData[Query ID],"="&amp;SUBSTITUTE(SUBSTITUTE(SUBSTITUTE(A100,"~","~~"),"*","~*"),"?","~?"))=0,"Unknown query ID",IF(B100="","Missing record ID",IF(OR(OR(NOT(ISTEXT(A100)),TRIM(A100)&lt;&gt;A100),OR(NOT(ISTEXT(B100)),TRIM(B100)&lt;&gt;B100)),"IDs must be text without outer spaces",IF(COUNTIFS(RecordData[Query ID],"="&amp;SUBSTITUTE(SUBSTITUTE(SUBSTITUTE(A100,"~","~~"),"*","~*"),"?","~?"),RecordData[Record ID],"="&amp;SUBSTITUTE(SUBSTITUTE(SUBSTITUTE(B100,"~","~~"),"*","~*"),"?","~?"))&gt;1,"Duplicate record ID",IF(OR(IF(G100="",FALSE,IF(ISNUMBER(G100),OR(G100&lt;1,G100&lt;&gt;INT(G100)),TRUE)),IF(H100="",FALSE,IF(ISNUMBER(H100),OR(H100&lt;1,H100&lt;&gt;INT(H100)),TRUE))),"Invalid rank",IF(OR(IF(G100="",FALSE,COUNTIFS(RecordData[Query ID],"="&amp;SUBSTITUTE(SUBSTITUTE(SUBSTITUTE(A100,"~","~~"),"*","~*"),"?","~?"),RecordData[Rank A],G100)&gt;1),IF(H100="",FALSE,COUNTIFS(RecordData[Query ID],"="&amp;SUBSTITUTE(SUBSTITUTE(SUBSTITUTE(A100,"~","~~"),"*","~*"),"?","~?"),RecordData[Rank B],H100)&gt;1)),"Duplicate rank",IF(AND(F100&lt;&gt;"",F100&lt;&gt;"Yes",F100&lt;&gt;"No"),"Invalid seed flag",IF(AND(D100&lt;&gt;"",D100&lt;&gt;"Relevant",D100&lt;&gt;"Not relevant",D100&lt;&gt;"Unjudged"),"Invalid judgement",IF(AND(F100="Yes",D100="Not relevant"),"Seed marked not relevant",IF(AND(G100="",H100="",F100&lt;&gt;"Yes"),"Absent record must be a seed","OK"))))))))))))</x:f>
      </x:c>
      <x:c r="J100" s="11" t="n">
        <x:f>IF(AND(ISNUMBER(G100),G100&gt;=1,G100&lt;=Comparison!$B$4),1,0)</x:f>
        <x:v>0</x:v>
      </x:c>
      <x:c r="K100" s="11" t="n">
        <x:f>IF(AND(ISNUMBER(H100),H100&gt;=1,H100&lt;=Comparison!$B$4),1,0)</x:f>
        <x:v>0</x:v>
      </x:c>
      <x:c r="L100" s="11" t="n">
        <x:f>IF(AND(J100=1,D100="Relevant"),1,0)</x:f>
        <x:v>0</x:v>
      </x:c>
      <x:c r="M100" s="11" t="n">
        <x:f>IF(AND(K100=1,D100="Relevant"),1,0)</x:f>
        <x:v>0</x:v>
      </x:c>
      <x:c r="N100" s="11" t="n">
        <x:f>IF(AND(OR(J100=1,K100=1),D100&lt;&gt;"Relevant",D100&lt;&gt;"Not relevant"),1,0)</x:f>
        <x:v>0</x:v>
      </x:c>
      <x:c r="O100" s="11" t="n">
        <x:f>IF(AND(J100=1,F100="Yes"),1,0)</x:f>
        <x:v>0</x:v>
      </x:c>
      <x:c r="P100" s="11" t="n">
        <x:f>IF(AND(K100=1,F100="Yes"),1,0)</x:f>
        <x:v>0</x:v>
      </x:c>
      <x:c r="Q100" s="11" t="n">
        <x:f>IF(F100="Yes",1,0)</x:f>
        <x:v>0</x:v>
      </x:c>
    </x:row>
    <x:row r="101" ht="48" customHeight="1">
      <x:c r="A101" s="15"/>
      <x:c r="B101" s="15"/>
      <x:c r="C101" s="12"/>
      <x:c r="D101" s="12"/>
      <x:c r="E101" s="12"/>
      <x:c r="F101" s="10"/>
      <x:c r="G101" s="10"/>
      <x:c r="H101" s="10"/>
      <x:c r="I101" s="11" t="str">
        <x:f>IF(COUNTA(A101:H101)=0,"",IF(A101="","Missing query ID",IF(COUNTIFS(QueryData[Query ID],"="&amp;SUBSTITUTE(SUBSTITUTE(SUBSTITUTE(A101,"~","~~"),"*","~*"),"?","~?"))=0,"Unknown query ID",IF(B101="","Missing record ID",IF(OR(OR(NOT(ISTEXT(A101)),TRIM(A101)&lt;&gt;A101),OR(NOT(ISTEXT(B101)),TRIM(B101)&lt;&gt;B101)),"IDs must be text without outer spaces",IF(COUNTIFS(RecordData[Query ID],"="&amp;SUBSTITUTE(SUBSTITUTE(SUBSTITUTE(A101,"~","~~"),"*","~*"),"?","~?"),RecordData[Record ID],"="&amp;SUBSTITUTE(SUBSTITUTE(SUBSTITUTE(B101,"~","~~"),"*","~*"),"?","~?"))&gt;1,"Duplicate record ID",IF(OR(IF(G101="",FALSE,IF(ISNUMBER(G101),OR(G101&lt;1,G101&lt;&gt;INT(G101)),TRUE)),IF(H101="",FALSE,IF(ISNUMBER(H101),OR(H101&lt;1,H101&lt;&gt;INT(H101)),TRUE))),"Invalid rank",IF(OR(IF(G101="",FALSE,COUNTIFS(RecordData[Query ID],"="&amp;SUBSTITUTE(SUBSTITUTE(SUBSTITUTE(A101,"~","~~"),"*","~*"),"?","~?"),RecordData[Rank A],G101)&gt;1),IF(H101="",FALSE,COUNTIFS(RecordData[Query ID],"="&amp;SUBSTITUTE(SUBSTITUTE(SUBSTITUTE(A101,"~","~~"),"*","~*"),"?","~?"),RecordData[Rank B],H101)&gt;1)),"Duplicate rank",IF(AND(F101&lt;&gt;"",F101&lt;&gt;"Yes",F101&lt;&gt;"No"),"Invalid seed flag",IF(AND(D101&lt;&gt;"",D101&lt;&gt;"Relevant",D101&lt;&gt;"Not relevant",D101&lt;&gt;"Unjudged"),"Invalid judgement",IF(AND(F101="Yes",D101="Not relevant"),"Seed marked not relevant",IF(AND(G101="",H101="",F101&lt;&gt;"Yes"),"Absent record must be a seed","OK"))))))))))))</x:f>
      </x:c>
      <x:c r="J101" s="11" t="n">
        <x:f>IF(AND(ISNUMBER(G101),G101&gt;=1,G101&lt;=Comparison!$B$4),1,0)</x:f>
        <x:v>0</x:v>
      </x:c>
      <x:c r="K101" s="11" t="n">
        <x:f>IF(AND(ISNUMBER(H101),H101&gt;=1,H101&lt;=Comparison!$B$4),1,0)</x:f>
        <x:v>0</x:v>
      </x:c>
      <x:c r="L101" s="11" t="n">
        <x:f>IF(AND(J101=1,D101="Relevant"),1,0)</x:f>
        <x:v>0</x:v>
      </x:c>
      <x:c r="M101" s="11" t="n">
        <x:f>IF(AND(K101=1,D101="Relevant"),1,0)</x:f>
        <x:v>0</x:v>
      </x:c>
      <x:c r="N101" s="11" t="n">
        <x:f>IF(AND(OR(J101=1,K101=1),D101&lt;&gt;"Relevant",D101&lt;&gt;"Not relevant"),1,0)</x:f>
        <x:v>0</x:v>
      </x:c>
      <x:c r="O101" s="11" t="n">
        <x:f>IF(AND(J101=1,F101="Yes"),1,0)</x:f>
        <x:v>0</x:v>
      </x:c>
      <x:c r="P101" s="11" t="n">
        <x:f>IF(AND(K101=1,F101="Yes"),1,0)</x:f>
        <x:v>0</x:v>
      </x:c>
      <x:c r="Q101" s="11" t="n">
        <x:f>IF(F101="Yes",1,0)</x:f>
        <x:v>0</x:v>
      </x:c>
    </x:row>
    <x:row r="102" ht="48" customHeight="1">
      <x:c r="A102" s="15"/>
      <x:c r="B102" s="15"/>
      <x:c r="C102" s="12"/>
      <x:c r="D102" s="12"/>
      <x:c r="E102" s="12"/>
      <x:c r="F102" s="10"/>
      <x:c r="G102" s="10"/>
      <x:c r="H102" s="10"/>
      <x:c r="I102" s="11" t="str">
        <x:f>IF(COUNTA(A102:H102)=0,"",IF(A102="","Missing query ID",IF(COUNTIFS(QueryData[Query ID],"="&amp;SUBSTITUTE(SUBSTITUTE(SUBSTITUTE(A102,"~","~~"),"*","~*"),"?","~?"))=0,"Unknown query ID",IF(B102="","Missing record ID",IF(OR(OR(NOT(ISTEXT(A102)),TRIM(A102)&lt;&gt;A102),OR(NOT(ISTEXT(B102)),TRIM(B102)&lt;&gt;B102)),"IDs must be text without outer spaces",IF(COUNTIFS(RecordData[Query ID],"="&amp;SUBSTITUTE(SUBSTITUTE(SUBSTITUTE(A102,"~","~~"),"*","~*"),"?","~?"),RecordData[Record ID],"="&amp;SUBSTITUTE(SUBSTITUTE(SUBSTITUTE(B102,"~","~~"),"*","~*"),"?","~?"))&gt;1,"Duplicate record ID",IF(OR(IF(G102="",FALSE,IF(ISNUMBER(G102),OR(G102&lt;1,G102&lt;&gt;INT(G102)),TRUE)),IF(H102="",FALSE,IF(ISNUMBER(H102),OR(H102&lt;1,H102&lt;&gt;INT(H102)),TRUE))),"Invalid rank",IF(OR(IF(G102="",FALSE,COUNTIFS(RecordData[Query ID],"="&amp;SUBSTITUTE(SUBSTITUTE(SUBSTITUTE(A102,"~","~~"),"*","~*"),"?","~?"),RecordData[Rank A],G102)&gt;1),IF(H102="",FALSE,COUNTIFS(RecordData[Query ID],"="&amp;SUBSTITUTE(SUBSTITUTE(SUBSTITUTE(A102,"~","~~"),"*","~*"),"?","~?"),RecordData[Rank B],H102)&gt;1)),"Duplicate rank",IF(AND(F102&lt;&gt;"",F102&lt;&gt;"Yes",F102&lt;&gt;"No"),"Invalid seed flag",IF(AND(D102&lt;&gt;"",D102&lt;&gt;"Relevant",D102&lt;&gt;"Not relevant",D102&lt;&gt;"Unjudged"),"Invalid judgement",IF(AND(F102="Yes",D102="Not relevant"),"Seed marked not relevant",IF(AND(G102="",H102="",F102&lt;&gt;"Yes"),"Absent record must be a seed","OK"))))))))))))</x:f>
      </x:c>
      <x:c r="J102" s="11" t="n">
        <x:f>IF(AND(ISNUMBER(G102),G102&gt;=1,G102&lt;=Comparison!$B$4),1,0)</x:f>
        <x:v>0</x:v>
      </x:c>
      <x:c r="K102" s="11" t="n">
        <x:f>IF(AND(ISNUMBER(H102),H102&gt;=1,H102&lt;=Comparison!$B$4),1,0)</x:f>
        <x:v>0</x:v>
      </x:c>
      <x:c r="L102" s="11" t="n">
        <x:f>IF(AND(J102=1,D102="Relevant"),1,0)</x:f>
        <x:v>0</x:v>
      </x:c>
      <x:c r="M102" s="11" t="n">
        <x:f>IF(AND(K102=1,D102="Relevant"),1,0)</x:f>
        <x:v>0</x:v>
      </x:c>
      <x:c r="N102" s="11" t="n">
        <x:f>IF(AND(OR(J102=1,K102=1),D102&lt;&gt;"Relevant",D102&lt;&gt;"Not relevant"),1,0)</x:f>
        <x:v>0</x:v>
      </x:c>
      <x:c r="O102" s="11" t="n">
        <x:f>IF(AND(J102=1,F102="Yes"),1,0)</x:f>
        <x:v>0</x:v>
      </x:c>
      <x:c r="P102" s="11" t="n">
        <x:f>IF(AND(K102=1,F102="Yes"),1,0)</x:f>
        <x:v>0</x:v>
      </x:c>
      <x:c r="Q102" s="11" t="n">
        <x:f>IF(F102="Yes",1,0)</x:f>
        <x:v>0</x:v>
      </x:c>
    </x:row>
    <x:row r="103" ht="48" customHeight="1">
      <x:c r="A103" s="15"/>
      <x:c r="B103" s="15"/>
      <x:c r="C103" s="12"/>
      <x:c r="D103" s="12"/>
      <x:c r="E103" s="12"/>
      <x:c r="F103" s="10"/>
      <x:c r="G103" s="10"/>
      <x:c r="H103" s="10"/>
      <x:c r="I103" s="11" t="str">
        <x:f>IF(COUNTA(A103:H103)=0,"",IF(A103="","Missing query ID",IF(COUNTIFS(QueryData[Query ID],"="&amp;SUBSTITUTE(SUBSTITUTE(SUBSTITUTE(A103,"~","~~"),"*","~*"),"?","~?"))=0,"Unknown query ID",IF(B103="","Missing record ID",IF(OR(OR(NOT(ISTEXT(A103)),TRIM(A103)&lt;&gt;A103),OR(NOT(ISTEXT(B103)),TRIM(B103)&lt;&gt;B103)),"IDs must be text without outer spaces",IF(COUNTIFS(RecordData[Query ID],"="&amp;SUBSTITUTE(SUBSTITUTE(SUBSTITUTE(A103,"~","~~"),"*","~*"),"?","~?"),RecordData[Record ID],"="&amp;SUBSTITUTE(SUBSTITUTE(SUBSTITUTE(B103,"~","~~"),"*","~*"),"?","~?"))&gt;1,"Duplicate record ID",IF(OR(IF(G103="",FALSE,IF(ISNUMBER(G103),OR(G103&lt;1,G103&lt;&gt;INT(G103)),TRUE)),IF(H103="",FALSE,IF(ISNUMBER(H103),OR(H103&lt;1,H103&lt;&gt;INT(H103)),TRUE))),"Invalid rank",IF(OR(IF(G103="",FALSE,COUNTIFS(RecordData[Query ID],"="&amp;SUBSTITUTE(SUBSTITUTE(SUBSTITUTE(A103,"~","~~"),"*","~*"),"?","~?"),RecordData[Rank A],G103)&gt;1),IF(H103="",FALSE,COUNTIFS(RecordData[Query ID],"="&amp;SUBSTITUTE(SUBSTITUTE(SUBSTITUTE(A103,"~","~~"),"*","~*"),"?","~?"),RecordData[Rank B],H103)&gt;1)),"Duplicate rank",IF(AND(F103&lt;&gt;"",F103&lt;&gt;"Yes",F103&lt;&gt;"No"),"Invalid seed flag",IF(AND(D103&lt;&gt;"",D103&lt;&gt;"Relevant",D103&lt;&gt;"Not relevant",D103&lt;&gt;"Unjudged"),"Invalid judgement",IF(AND(F103="Yes",D103="Not relevant"),"Seed marked not relevant",IF(AND(G103="",H103="",F103&lt;&gt;"Yes"),"Absent record must be a seed","OK"))))))))))))</x:f>
      </x:c>
      <x:c r="J103" s="11" t="n">
        <x:f>IF(AND(ISNUMBER(G103),G103&gt;=1,G103&lt;=Comparison!$B$4),1,0)</x:f>
        <x:v>0</x:v>
      </x:c>
      <x:c r="K103" s="11" t="n">
        <x:f>IF(AND(ISNUMBER(H103),H103&gt;=1,H103&lt;=Comparison!$B$4),1,0)</x:f>
        <x:v>0</x:v>
      </x:c>
      <x:c r="L103" s="11" t="n">
        <x:f>IF(AND(J103=1,D103="Relevant"),1,0)</x:f>
        <x:v>0</x:v>
      </x:c>
      <x:c r="M103" s="11" t="n">
        <x:f>IF(AND(K103=1,D103="Relevant"),1,0)</x:f>
        <x:v>0</x:v>
      </x:c>
      <x:c r="N103" s="11" t="n">
        <x:f>IF(AND(OR(J103=1,K103=1),D103&lt;&gt;"Relevant",D103&lt;&gt;"Not relevant"),1,0)</x:f>
        <x:v>0</x:v>
      </x:c>
      <x:c r="O103" s="11" t="n">
        <x:f>IF(AND(J103=1,F103="Yes"),1,0)</x:f>
        <x:v>0</x:v>
      </x:c>
      <x:c r="P103" s="11" t="n">
        <x:f>IF(AND(K103=1,F103="Yes"),1,0)</x:f>
        <x:v>0</x:v>
      </x:c>
      <x:c r="Q103" s="11" t="n">
        <x:f>IF(F103="Yes",1,0)</x:f>
        <x:v>0</x:v>
      </x:c>
    </x:row>
    <x:row r="104" ht="48" customHeight="1">
      <x:c r="A104" s="15"/>
      <x:c r="B104" s="15"/>
      <x:c r="C104" s="12"/>
      <x:c r="D104" s="12"/>
      <x:c r="E104" s="12"/>
      <x:c r="F104" s="10"/>
      <x:c r="G104" s="10"/>
      <x:c r="H104" s="10"/>
      <x:c r="I104" s="11" t="str">
        <x:f>IF(COUNTA(A104:H104)=0,"",IF(A104="","Missing query ID",IF(COUNTIFS(QueryData[Query ID],"="&amp;SUBSTITUTE(SUBSTITUTE(SUBSTITUTE(A104,"~","~~"),"*","~*"),"?","~?"))=0,"Unknown query ID",IF(B104="","Missing record ID",IF(OR(OR(NOT(ISTEXT(A104)),TRIM(A104)&lt;&gt;A104),OR(NOT(ISTEXT(B104)),TRIM(B104)&lt;&gt;B104)),"IDs must be text without outer spaces",IF(COUNTIFS(RecordData[Query ID],"="&amp;SUBSTITUTE(SUBSTITUTE(SUBSTITUTE(A104,"~","~~"),"*","~*"),"?","~?"),RecordData[Record ID],"="&amp;SUBSTITUTE(SUBSTITUTE(SUBSTITUTE(B104,"~","~~"),"*","~*"),"?","~?"))&gt;1,"Duplicate record ID",IF(OR(IF(G104="",FALSE,IF(ISNUMBER(G104),OR(G104&lt;1,G104&lt;&gt;INT(G104)),TRUE)),IF(H104="",FALSE,IF(ISNUMBER(H104),OR(H104&lt;1,H104&lt;&gt;INT(H104)),TRUE))),"Invalid rank",IF(OR(IF(G104="",FALSE,COUNTIFS(RecordData[Query ID],"="&amp;SUBSTITUTE(SUBSTITUTE(SUBSTITUTE(A104,"~","~~"),"*","~*"),"?","~?"),RecordData[Rank A],G104)&gt;1),IF(H104="",FALSE,COUNTIFS(RecordData[Query ID],"="&amp;SUBSTITUTE(SUBSTITUTE(SUBSTITUTE(A104,"~","~~"),"*","~*"),"?","~?"),RecordData[Rank B],H104)&gt;1)),"Duplicate rank",IF(AND(F104&lt;&gt;"",F104&lt;&gt;"Yes",F104&lt;&gt;"No"),"Invalid seed flag",IF(AND(D104&lt;&gt;"",D104&lt;&gt;"Relevant",D104&lt;&gt;"Not relevant",D104&lt;&gt;"Unjudged"),"Invalid judgement",IF(AND(F104="Yes",D104="Not relevant"),"Seed marked not relevant",IF(AND(G104="",H104="",F104&lt;&gt;"Yes"),"Absent record must be a seed","OK"))))))))))))</x:f>
      </x:c>
      <x:c r="J104" s="11" t="n">
        <x:f>IF(AND(ISNUMBER(G104),G104&gt;=1,G104&lt;=Comparison!$B$4),1,0)</x:f>
        <x:v>0</x:v>
      </x:c>
      <x:c r="K104" s="11" t="n">
        <x:f>IF(AND(ISNUMBER(H104),H104&gt;=1,H104&lt;=Comparison!$B$4),1,0)</x:f>
        <x:v>0</x:v>
      </x:c>
      <x:c r="L104" s="11" t="n">
        <x:f>IF(AND(J104=1,D104="Relevant"),1,0)</x:f>
        <x:v>0</x:v>
      </x:c>
      <x:c r="M104" s="11" t="n">
        <x:f>IF(AND(K104=1,D104="Relevant"),1,0)</x:f>
        <x:v>0</x:v>
      </x:c>
      <x:c r="N104" s="11" t="n">
        <x:f>IF(AND(OR(J104=1,K104=1),D104&lt;&gt;"Relevant",D104&lt;&gt;"Not relevant"),1,0)</x:f>
        <x:v>0</x:v>
      </x:c>
      <x:c r="O104" s="11" t="n">
        <x:f>IF(AND(J104=1,F104="Yes"),1,0)</x:f>
        <x:v>0</x:v>
      </x:c>
      <x:c r="P104" s="11" t="n">
        <x:f>IF(AND(K104=1,F104="Yes"),1,0)</x:f>
        <x:v>0</x:v>
      </x:c>
      <x:c r="Q104" s="11" t="n">
        <x:f>IF(F104="Yes",1,0)</x:f>
        <x:v>0</x:v>
      </x:c>
    </x:row>
    <x:row r="105" ht="48" customHeight="1">
      <x:c r="A105" s="15"/>
      <x:c r="B105" s="15"/>
      <x:c r="C105" s="12"/>
      <x:c r="D105" s="12"/>
      <x:c r="E105" s="12"/>
      <x:c r="F105" s="10"/>
      <x:c r="G105" s="10"/>
      <x:c r="H105" s="10"/>
      <x:c r="I105" s="11" t="str">
        <x:f>IF(COUNTA(A105:H105)=0,"",IF(A105="","Missing query ID",IF(COUNTIFS(QueryData[Query ID],"="&amp;SUBSTITUTE(SUBSTITUTE(SUBSTITUTE(A105,"~","~~"),"*","~*"),"?","~?"))=0,"Unknown query ID",IF(B105="","Missing record ID",IF(OR(OR(NOT(ISTEXT(A105)),TRIM(A105)&lt;&gt;A105),OR(NOT(ISTEXT(B105)),TRIM(B105)&lt;&gt;B105)),"IDs must be text without outer spaces",IF(COUNTIFS(RecordData[Query ID],"="&amp;SUBSTITUTE(SUBSTITUTE(SUBSTITUTE(A105,"~","~~"),"*","~*"),"?","~?"),RecordData[Record ID],"="&amp;SUBSTITUTE(SUBSTITUTE(SUBSTITUTE(B105,"~","~~"),"*","~*"),"?","~?"))&gt;1,"Duplicate record ID",IF(OR(IF(G105="",FALSE,IF(ISNUMBER(G105),OR(G105&lt;1,G105&lt;&gt;INT(G105)),TRUE)),IF(H105="",FALSE,IF(ISNUMBER(H105),OR(H105&lt;1,H105&lt;&gt;INT(H105)),TRUE))),"Invalid rank",IF(OR(IF(G105="",FALSE,COUNTIFS(RecordData[Query ID],"="&amp;SUBSTITUTE(SUBSTITUTE(SUBSTITUTE(A105,"~","~~"),"*","~*"),"?","~?"),RecordData[Rank A],G105)&gt;1),IF(H105="",FALSE,COUNTIFS(RecordData[Query ID],"="&amp;SUBSTITUTE(SUBSTITUTE(SUBSTITUTE(A105,"~","~~"),"*","~*"),"?","~?"),RecordData[Rank B],H105)&gt;1)),"Duplicate rank",IF(AND(F105&lt;&gt;"",F105&lt;&gt;"Yes",F105&lt;&gt;"No"),"Invalid seed flag",IF(AND(D105&lt;&gt;"",D105&lt;&gt;"Relevant",D105&lt;&gt;"Not relevant",D105&lt;&gt;"Unjudged"),"Invalid judgement",IF(AND(F105="Yes",D105="Not relevant"),"Seed marked not relevant",IF(AND(G105="",H105="",F105&lt;&gt;"Yes"),"Absent record must be a seed","OK"))))))))))))</x:f>
      </x:c>
      <x:c r="J105" s="11" t="n">
        <x:f>IF(AND(ISNUMBER(G105),G105&gt;=1,G105&lt;=Comparison!$B$4),1,0)</x:f>
        <x:v>0</x:v>
      </x:c>
      <x:c r="K105" s="11" t="n">
        <x:f>IF(AND(ISNUMBER(H105),H105&gt;=1,H105&lt;=Comparison!$B$4),1,0)</x:f>
        <x:v>0</x:v>
      </x:c>
      <x:c r="L105" s="11" t="n">
        <x:f>IF(AND(J105=1,D105="Relevant"),1,0)</x:f>
        <x:v>0</x:v>
      </x:c>
      <x:c r="M105" s="11" t="n">
        <x:f>IF(AND(K105=1,D105="Relevant"),1,0)</x:f>
        <x:v>0</x:v>
      </x:c>
      <x:c r="N105" s="11" t="n">
        <x:f>IF(AND(OR(J105=1,K105=1),D105&lt;&gt;"Relevant",D105&lt;&gt;"Not relevant"),1,0)</x:f>
        <x:v>0</x:v>
      </x:c>
      <x:c r="O105" s="11" t="n">
        <x:f>IF(AND(J105=1,F105="Yes"),1,0)</x:f>
        <x:v>0</x:v>
      </x:c>
      <x:c r="P105" s="11" t="n">
        <x:f>IF(AND(K105=1,F105="Yes"),1,0)</x:f>
        <x:v>0</x:v>
      </x:c>
      <x:c r="Q105" s="11" t="n">
        <x:f>IF(F105="Yes",1,0)</x:f>
        <x:v>0</x:v>
      </x:c>
    </x:row>
  </x:sheetData>
  <x:conditionalFormatting sqref="I6:I105">
    <x:cfRule type="expression" dxfId="3" priority="1">
      <x:formula>AND($I6&lt;&gt;"",$I6&lt;&gt;"OK")</x:formula>
    </x:cfRule>
  </x:conditionalFormatting>
  <x:dataValidations count="4">
    <x:dataValidation type="list" sqref="D6:D105">
      <x:formula1>"Relevant,Not relevant,Unjudged"</x:formula1>
    </x:dataValidation>
    <x:dataValidation type="list" sqref="F6:F105">
      <x:formula1>"Yes,No"</x:formula1>
    </x:dataValidation>
    <x:dataValidation type="whole" operator="between" sqref="G6:G105">
      <x:formula1>1</x:formula1>
      <x:formula2>20</x:formula2>
    </x:dataValidation>
    <x:dataValidation type="whole" operator="between" sqref="H6:H105">
      <x:formula1>1</x:formula1>
      <x:formula2>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439b93040e4d1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36" hidden="0" customWidth="1"/>
    <x:col min="3" max="3" width="17" hidden="0" customWidth="1"/>
    <x:col min="4" max="4" width="30" hidden="0" customWidth="1"/>
    <x:col min="5" max="5" width="30" hidden="0" customWidth="1"/>
    <x:col min="6" max="6" width="45" hidden="0" customWidth="1"/>
    <x:col min="7" max="7" width="45" hidden="0" customWidth="1"/>
    <x:col min="8" max="8" width="4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Record the two search runs</x:v>
      </x:c>
      <x:c r="B2" s="1"/>
      <x:c r="C2" s="1"/>
      <x:c r="D2" s="1"/>
      <x:c r="E2" s="1"/>
      <x:c r="F2" s="1"/>
      <x:c r="G2" s="1"/>
      <x:c r="H2" s="1"/>
    </x:row>
    <x:row r="3">
      <x:c r="A3" s="3" t="str">
        <x:v>Use YYYY-MM-DD dates. Save original exports separately. Describe unknown settings explicitly.</x:v>
      </x:c>
      <x:c r="B3" s="1"/>
      <x:c r="C3" s="1"/>
      <x:c r="D3" s="1"/>
      <x:c r="E3" s="1"/>
      <x:c r="F3" s="1"/>
      <x:c r="G3" s="1"/>
      <x:c r="H3" s="1"/>
    </x:row>
    <x:row r="4">
      <x:c r="A4" s="1" t="str">
        <x:v>Guide: https://aarontaycheehsien.github.io/Information-retrieval-crashcourse/evaluation-kit.html</x:v>
      </x:c>
      <x:c r="B4" s="1"/>
      <x:c r="C4" s="1"/>
      <x:c r="D4" s="1"/>
      <x:c r="E4" s="1"/>
      <x:c r="F4" s="1"/>
      <x:c r="G4" s="1"/>
      <x:c r="H4" s="1"/>
    </x:row>
    <x:row r="5" ht="36" customHeight="1">
      <x:c r="A5" s="8" t="str">
        <x:v>Run</x:v>
      </x:c>
      <x:c r="B5" s="8" t="str">
        <x:v>Product and mode</x:v>
      </x:c>
      <x:c r="C5" s="8" t="str">
        <x:v>Run date</x:v>
      </x:c>
      <x:c r="D5" s="8" t="str">
        <x:v>Model or unknown</x:v>
      </x:c>
      <x:c r="E5" s="8" t="str">
        <x:v>Index or unknown</x:v>
      </x:c>
      <x:c r="F5" s="8" t="str">
        <x:v>Change being tested</x:v>
      </x:c>
      <x:c r="G5" s="8" t="str">
        <x:v>Saved exports</x:v>
      </x:c>
      <x:c r="H5" s="8" t="str">
        <x:v>Unavailable details</x:v>
      </x:c>
    </x:row>
    <x:row r="6" ht="82" customHeight="1">
      <x:c r="A6" s="10" t="str">
        <x:v>A</x:v>
      </x:c>
      <x:c r="B6" s="12" t="str">
        <x:v>Controlled example: before</x:v>
      </x:c>
      <x:c r="C6" s="14" t="str">
        <x:v>Not a live run</x:v>
      </x:c>
      <x:c r="D6" s="12" t="str">
        <x:v>Not applicable</x:v>
      </x:c>
      <x:c r="E6" s="12" t="str">
        <x:v>Same stipulated 20 records</x:v>
      </x:c>
      <x:c r="F6" s="12" t="str">
        <x:v>Baseline ranking</x:v>
      </x:c>
      <x:c r="G6" s="12" t="str">
        <x:v>https://aarontaycheehsien.github.io/Information-retrieval-crashcourse/search-textbook.html#fig-14-1</x:v>
      </x:c>
      <x:c r="H6" s="12" t="str">
        <x:v>No live product observations</x:v>
      </x:c>
    </x:row>
    <x:row r="7" ht="82" customHeight="1">
      <x:c r="A7" s="10" t="str">
        <x:v>B</x:v>
      </x:c>
      <x:c r="B7" s="12" t="str">
        <x:v>Controlled example: after</x:v>
      </x:c>
      <x:c r="C7" s="14" t="str">
        <x:v>Not a live run</x:v>
      </x:c>
      <x:c r="D7" s="12" t="str">
        <x:v>Not applicable</x:v>
      </x:c>
      <x:c r="E7" s="12" t="str">
        <x:v>Same stipulated 20 records</x:v>
      </x:c>
      <x:c r="F7" s="12" t="str">
        <x:v>Reranking only; no additional candidates</x:v>
      </x:c>
      <x:c r="G7" s="12" t="str">
        <x:v>https://aarontaycheehsien.github.io/Information-retrieval-crashcourse/search-textbook.html#fig-14-1</x:v>
      </x:c>
      <x:c r="H7" s="12" t="str">
        <x:v>Seed subset chosen for the kit: A, C, E, G, J</x:v>
      </x:c>
    </x:row>
  </x:sheetData>
  <x:pageMargins left="0.7" right="0.7" top="0.75" bottom="0.75" header="0.3" footer="0.3"/>
  <x:tableParts count="1">
    <x:tablePart xmlns:r="http://schemas.openxmlformats.org/officeDocument/2006/relationships" r:id="R4b55ed9c9a4a4c28"/>
  </x:tableParts>
</x:worksheet>
</file>